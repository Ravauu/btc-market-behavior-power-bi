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rafal\Desktop\"/>
    </mc:Choice>
  </mc:AlternateContent>
  <xr:revisionPtr revIDLastSave="0" documentId="13_ncr:1_{924BCE84-072E-4A43-94E6-38151ECCEF7C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Arkusz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200" i="1" l="1" a="1"/>
  <c r="Q200" i="1" s="1"/>
  <c r="P200" i="1" a="1"/>
  <c r="P200" i="1" s="1"/>
  <c r="O200" i="1"/>
  <c r="N200" i="1" a="1"/>
  <c r="N200" i="1" s="1"/>
  <c r="M200" i="1"/>
  <c r="L200" i="1"/>
  <c r="K200" i="1"/>
  <c r="J200" i="1"/>
  <c r="I200" i="1"/>
  <c r="H200" i="1"/>
  <c r="Q199" i="1" a="1"/>
  <c r="Q199" i="1" s="1"/>
  <c r="P199" i="1"/>
  <c r="P199" i="1" a="1"/>
  <c r="O199" i="1"/>
  <c r="N199" i="1"/>
  <c r="N199" i="1" a="1"/>
  <c r="M199" i="1"/>
  <c r="L199" i="1"/>
  <c r="K199" i="1"/>
  <c r="J199" i="1"/>
  <c r="I199" i="1"/>
  <c r="H199" i="1"/>
  <c r="Q198" i="1"/>
  <c r="Q198" i="1" a="1"/>
  <c r="P198" i="1"/>
  <c r="P198" i="1" a="1"/>
  <c r="O198" i="1"/>
  <c r="N198" i="1"/>
  <c r="N198" i="1" a="1"/>
  <c r="M198" i="1"/>
  <c r="L198" i="1"/>
  <c r="K198" i="1"/>
  <c r="J198" i="1"/>
  <c r="I198" i="1"/>
  <c r="H198" i="1"/>
  <c r="Q197" i="1" a="1"/>
  <c r="Q197" i="1" s="1"/>
  <c r="P197" i="1" a="1"/>
  <c r="P197" i="1" s="1"/>
  <c r="O197" i="1"/>
  <c r="N197" i="1"/>
  <c r="N197" i="1" a="1"/>
  <c r="M197" i="1"/>
  <c r="L197" i="1"/>
  <c r="K197" i="1"/>
  <c r="J197" i="1"/>
  <c r="I197" i="1"/>
  <c r="H197" i="1"/>
  <c r="Q196" i="1"/>
  <c r="Q196" i="1" a="1"/>
  <c r="P196" i="1" a="1"/>
  <c r="P196" i="1" s="1"/>
  <c r="O196" i="1"/>
  <c r="N196" i="1" a="1"/>
  <c r="N196" i="1" s="1"/>
  <c r="M196" i="1"/>
  <c r="L196" i="1"/>
  <c r="K196" i="1"/>
  <c r="J196" i="1"/>
  <c r="I196" i="1"/>
  <c r="H196" i="1"/>
  <c r="Q195" i="1" a="1"/>
  <c r="Q195" i="1" s="1"/>
  <c r="P195" i="1" a="1"/>
  <c r="P195" i="1" s="1"/>
  <c r="O195" i="1"/>
  <c r="N195" i="1"/>
  <c r="N195" i="1" a="1"/>
  <c r="M195" i="1"/>
  <c r="L195" i="1"/>
  <c r="K195" i="1"/>
  <c r="J195" i="1"/>
  <c r="I195" i="1"/>
  <c r="H195" i="1"/>
  <c r="Q194" i="1" a="1"/>
  <c r="Q194" i="1" s="1"/>
  <c r="P194" i="1"/>
  <c r="P194" i="1" a="1"/>
  <c r="O194" i="1"/>
  <c r="N194" i="1"/>
  <c r="N194" i="1" a="1"/>
  <c r="M194" i="1"/>
  <c r="L194" i="1"/>
  <c r="K194" i="1"/>
  <c r="J194" i="1"/>
  <c r="I194" i="1"/>
  <c r="H194" i="1"/>
  <c r="Q193" i="1"/>
  <c r="Q193" i="1" a="1"/>
  <c r="P193" i="1" a="1"/>
  <c r="P193" i="1" s="1"/>
  <c r="O193" i="1"/>
  <c r="N193" i="1" a="1"/>
  <c r="N193" i="1" s="1"/>
  <c r="M193" i="1"/>
  <c r="L193" i="1"/>
  <c r="K193" i="1"/>
  <c r="J193" i="1"/>
  <c r="I193" i="1"/>
  <c r="H193" i="1"/>
  <c r="Q192" i="1"/>
  <c r="Q192" i="1" a="1"/>
  <c r="P192" i="1"/>
  <c r="P192" i="1" a="1"/>
  <c r="O192" i="1"/>
  <c r="N192" i="1" a="1"/>
  <c r="N192" i="1" s="1"/>
  <c r="M192" i="1"/>
  <c r="L192" i="1"/>
  <c r="K192" i="1"/>
  <c r="J192" i="1"/>
  <c r="I192" i="1"/>
  <c r="H192" i="1"/>
  <c r="Q191" i="1" a="1"/>
  <c r="Q191" i="1" s="1"/>
  <c r="P191" i="1" a="1"/>
  <c r="P191" i="1" s="1"/>
  <c r="O191" i="1"/>
  <c r="N191" i="1"/>
  <c r="N191" i="1" a="1"/>
  <c r="M191" i="1"/>
  <c r="L191" i="1"/>
  <c r="K191" i="1"/>
  <c r="J191" i="1"/>
  <c r="I191" i="1"/>
  <c r="H191" i="1"/>
  <c r="Q190" i="1"/>
  <c r="Q190" i="1" a="1"/>
  <c r="P190" i="1" a="1"/>
  <c r="P190" i="1" s="1"/>
  <c r="O190" i="1"/>
  <c r="N190" i="1" a="1"/>
  <c r="N190" i="1" s="1"/>
  <c r="M190" i="1"/>
  <c r="L190" i="1"/>
  <c r="K190" i="1"/>
  <c r="J190" i="1"/>
  <c r="I190" i="1"/>
  <c r="H190" i="1"/>
  <c r="Q189" i="1" a="1"/>
  <c r="Q189" i="1" s="1"/>
  <c r="P189" i="1" a="1"/>
  <c r="P189" i="1" s="1"/>
  <c r="O189" i="1"/>
  <c r="N189" i="1"/>
  <c r="N189" i="1" a="1"/>
  <c r="M189" i="1"/>
  <c r="L189" i="1"/>
  <c r="K189" i="1"/>
  <c r="J189" i="1"/>
  <c r="I189" i="1"/>
  <c r="H189" i="1"/>
  <c r="Q188" i="1" a="1"/>
  <c r="Q188" i="1" s="1"/>
  <c r="P188" i="1"/>
  <c r="P188" i="1" a="1"/>
  <c r="O188" i="1"/>
  <c r="N188" i="1" a="1"/>
  <c r="N188" i="1" s="1"/>
  <c r="M188" i="1"/>
  <c r="L188" i="1"/>
  <c r="K188" i="1"/>
  <c r="J188" i="1"/>
  <c r="I188" i="1"/>
  <c r="H188" i="1"/>
  <c r="Q187" i="1" a="1"/>
  <c r="Q187" i="1" s="1"/>
  <c r="P187" i="1" a="1"/>
  <c r="P187" i="1" s="1"/>
  <c r="O187" i="1"/>
  <c r="N187" i="1" a="1"/>
  <c r="N187" i="1" s="1"/>
  <c r="M187" i="1"/>
  <c r="L187" i="1"/>
  <c r="K187" i="1"/>
  <c r="J187" i="1"/>
  <c r="I187" i="1"/>
  <c r="H187" i="1"/>
  <c r="Q186" i="1"/>
  <c r="Q186" i="1" a="1"/>
  <c r="P186" i="1"/>
  <c r="P186" i="1" a="1"/>
  <c r="O186" i="1"/>
  <c r="N186" i="1"/>
  <c r="N186" i="1" a="1"/>
  <c r="M186" i="1"/>
  <c r="L186" i="1"/>
  <c r="K186" i="1"/>
  <c r="J186" i="1"/>
  <c r="I186" i="1"/>
  <c r="H186" i="1"/>
  <c r="Q185" i="1" a="1"/>
  <c r="Q185" i="1" s="1"/>
  <c r="P185" i="1" a="1"/>
  <c r="P185" i="1" s="1"/>
  <c r="O185" i="1"/>
  <c r="N185" i="1" a="1"/>
  <c r="N185" i="1" s="1"/>
  <c r="M185" i="1"/>
  <c r="L185" i="1"/>
  <c r="K185" i="1"/>
  <c r="J185" i="1"/>
  <c r="I185" i="1"/>
  <c r="H185" i="1"/>
  <c r="Q184" i="1"/>
  <c r="Q184" i="1" a="1"/>
  <c r="P184" i="1" a="1"/>
  <c r="P184" i="1" s="1"/>
  <c r="O184" i="1"/>
  <c r="N184" i="1" a="1"/>
  <c r="N184" i="1" s="1"/>
  <c r="M184" i="1"/>
  <c r="L184" i="1"/>
  <c r="K184" i="1"/>
  <c r="J184" i="1"/>
  <c r="I184" i="1"/>
  <c r="H184" i="1"/>
  <c r="Q183" i="1" a="1"/>
  <c r="Q183" i="1" s="1"/>
  <c r="P183" i="1" a="1"/>
  <c r="P183" i="1" s="1"/>
  <c r="O183" i="1"/>
  <c r="N183" i="1"/>
  <c r="N183" i="1" a="1"/>
  <c r="M183" i="1"/>
  <c r="L183" i="1"/>
  <c r="K183" i="1"/>
  <c r="J183" i="1"/>
  <c r="I183" i="1"/>
  <c r="H183" i="1"/>
  <c r="Q182" i="1" a="1"/>
  <c r="Q182" i="1" s="1"/>
  <c r="P182" i="1"/>
  <c r="P182" i="1" a="1"/>
  <c r="O182" i="1"/>
  <c r="N182" i="1" a="1"/>
  <c r="N182" i="1" s="1"/>
  <c r="M182" i="1"/>
  <c r="L182" i="1"/>
  <c r="K182" i="1"/>
  <c r="J182" i="1"/>
  <c r="I182" i="1"/>
  <c r="H182" i="1"/>
  <c r="Q181" i="1" a="1"/>
  <c r="Q181" i="1" s="1"/>
  <c r="P181" i="1" a="1"/>
  <c r="P181" i="1" s="1"/>
  <c r="O181" i="1"/>
  <c r="N181" i="1" a="1"/>
  <c r="N181" i="1" s="1"/>
  <c r="M181" i="1"/>
  <c r="L181" i="1"/>
  <c r="K181" i="1"/>
  <c r="J181" i="1"/>
  <c r="I181" i="1"/>
  <c r="H181" i="1"/>
  <c r="Q180" i="1"/>
  <c r="Q180" i="1" a="1"/>
  <c r="P180" i="1"/>
  <c r="P180" i="1" a="1"/>
  <c r="O180" i="1"/>
  <c r="N180" i="1" a="1"/>
  <c r="N180" i="1" s="1"/>
  <c r="M180" i="1"/>
  <c r="L180" i="1"/>
  <c r="K180" i="1"/>
  <c r="J180" i="1"/>
  <c r="I180" i="1"/>
  <c r="H180" i="1"/>
  <c r="Q179" i="1" a="1"/>
  <c r="Q179" i="1" s="1"/>
  <c r="P179" i="1" a="1"/>
  <c r="P179" i="1" s="1"/>
  <c r="O179" i="1"/>
  <c r="N179" i="1"/>
  <c r="N179" i="1" a="1"/>
  <c r="M179" i="1"/>
  <c r="L179" i="1"/>
  <c r="K179" i="1"/>
  <c r="J179" i="1"/>
  <c r="I179" i="1"/>
  <c r="H179" i="1"/>
  <c r="Q178" i="1"/>
  <c r="Q178" i="1" a="1"/>
  <c r="P178" i="1" a="1"/>
  <c r="P178" i="1" s="1"/>
  <c r="O178" i="1"/>
  <c r="N178" i="1" a="1"/>
  <c r="N178" i="1" s="1"/>
  <c r="M178" i="1"/>
  <c r="L178" i="1"/>
  <c r="K178" i="1"/>
  <c r="J178" i="1"/>
  <c r="I178" i="1"/>
  <c r="H178" i="1"/>
  <c r="Q177" i="1" a="1"/>
  <c r="Q177" i="1" s="1"/>
  <c r="P177" i="1" a="1"/>
  <c r="P177" i="1" s="1"/>
  <c r="O177" i="1"/>
  <c r="N177" i="1"/>
  <c r="N177" i="1" a="1"/>
  <c r="M177" i="1"/>
  <c r="L177" i="1"/>
  <c r="K177" i="1"/>
  <c r="J177" i="1"/>
  <c r="I177" i="1"/>
  <c r="H177" i="1"/>
  <c r="Q176" i="1" a="1"/>
  <c r="Q176" i="1" s="1"/>
  <c r="P176" i="1"/>
  <c r="P176" i="1" a="1"/>
  <c r="O176" i="1"/>
  <c r="N176" i="1" a="1"/>
  <c r="N176" i="1" s="1"/>
  <c r="M176" i="1"/>
  <c r="L176" i="1"/>
  <c r="K176" i="1"/>
  <c r="J176" i="1"/>
  <c r="I176" i="1"/>
  <c r="H176" i="1"/>
  <c r="Q175" i="1" a="1"/>
  <c r="Q175" i="1" s="1"/>
  <c r="P175" i="1" a="1"/>
  <c r="P175" i="1" s="1"/>
  <c r="O175" i="1"/>
  <c r="N175" i="1" a="1"/>
  <c r="N175" i="1" s="1"/>
  <c r="M175" i="1"/>
  <c r="L175" i="1"/>
  <c r="K175" i="1"/>
  <c r="J175" i="1"/>
  <c r="I175" i="1"/>
  <c r="H175" i="1"/>
  <c r="Q174" i="1"/>
  <c r="Q174" i="1" a="1"/>
  <c r="P174" i="1"/>
  <c r="P174" i="1" a="1"/>
  <c r="O174" i="1"/>
  <c r="N174" i="1" a="1"/>
  <c r="N174" i="1" s="1"/>
  <c r="M174" i="1"/>
  <c r="L174" i="1"/>
  <c r="K174" i="1"/>
  <c r="J174" i="1"/>
  <c r="I174" i="1"/>
  <c r="H174" i="1"/>
  <c r="Q173" i="1" a="1"/>
  <c r="Q173" i="1" s="1"/>
  <c r="P173" i="1" a="1"/>
  <c r="P173" i="1" s="1"/>
  <c r="O173" i="1"/>
  <c r="N173" i="1" a="1"/>
  <c r="N173" i="1" s="1"/>
  <c r="M173" i="1"/>
  <c r="L173" i="1"/>
  <c r="K173" i="1"/>
  <c r="J173" i="1"/>
  <c r="I173" i="1"/>
  <c r="H173" i="1"/>
  <c r="Q172" i="1" a="1"/>
  <c r="Q172" i="1" s="1"/>
  <c r="P172" i="1" a="1"/>
  <c r="P172" i="1" s="1"/>
  <c r="O172" i="1"/>
  <c r="N172" i="1" a="1"/>
  <c r="N172" i="1" s="1"/>
  <c r="M172" i="1"/>
  <c r="L172" i="1"/>
  <c r="K172" i="1"/>
  <c r="J172" i="1"/>
  <c r="I172" i="1"/>
  <c r="H172" i="1"/>
  <c r="Q171" i="1" a="1"/>
  <c r="Q171" i="1" s="1"/>
  <c r="P171" i="1" a="1"/>
  <c r="P171" i="1" s="1"/>
  <c r="O171" i="1"/>
  <c r="N171" i="1"/>
  <c r="N171" i="1" a="1"/>
  <c r="M171" i="1"/>
  <c r="L171" i="1"/>
  <c r="K171" i="1"/>
  <c r="J171" i="1"/>
  <c r="I171" i="1"/>
  <c r="H171" i="1"/>
  <c r="Q170" i="1" a="1"/>
  <c r="Q170" i="1" s="1"/>
  <c r="P170" i="1"/>
  <c r="P170" i="1" a="1"/>
  <c r="O170" i="1"/>
  <c r="N170" i="1" a="1"/>
  <c r="N170" i="1" s="1"/>
  <c r="M170" i="1"/>
  <c r="L170" i="1"/>
  <c r="K170" i="1"/>
  <c r="J170" i="1"/>
  <c r="I170" i="1"/>
  <c r="H170" i="1"/>
  <c r="Q169" i="1" a="1"/>
  <c r="Q169" i="1" s="1"/>
  <c r="P169" i="1" a="1"/>
  <c r="P169" i="1" s="1"/>
  <c r="O169" i="1"/>
  <c r="N169" i="1" a="1"/>
  <c r="N169" i="1" s="1"/>
  <c r="M169" i="1"/>
  <c r="L169" i="1"/>
  <c r="K169" i="1"/>
  <c r="J169" i="1"/>
  <c r="I169" i="1"/>
  <c r="H169" i="1"/>
  <c r="Q168" i="1"/>
  <c r="Q168" i="1" a="1"/>
  <c r="P168" i="1"/>
  <c r="P168" i="1" a="1"/>
  <c r="O168" i="1"/>
  <c r="N168" i="1" a="1"/>
  <c r="N168" i="1" s="1"/>
  <c r="M168" i="1"/>
  <c r="L168" i="1"/>
  <c r="K168" i="1"/>
  <c r="J168" i="1"/>
  <c r="I168" i="1"/>
  <c r="H168" i="1"/>
  <c r="Q167" i="1" a="1"/>
  <c r="Q167" i="1" s="1"/>
  <c r="P167" i="1" a="1"/>
  <c r="P167" i="1" s="1"/>
  <c r="O167" i="1"/>
  <c r="N167" i="1"/>
  <c r="N167" i="1" a="1"/>
  <c r="M167" i="1"/>
  <c r="L167" i="1"/>
  <c r="K167" i="1"/>
  <c r="J167" i="1"/>
  <c r="I167" i="1"/>
  <c r="H167" i="1"/>
  <c r="Q166" i="1"/>
  <c r="Q166" i="1" a="1"/>
  <c r="P166" i="1" a="1"/>
  <c r="P166" i="1" s="1"/>
  <c r="O166" i="1"/>
  <c r="N166" i="1" a="1"/>
  <c r="N166" i="1" s="1"/>
  <c r="M166" i="1"/>
  <c r="L166" i="1"/>
  <c r="K166" i="1"/>
  <c r="J166" i="1"/>
  <c r="I166" i="1"/>
  <c r="H166" i="1"/>
  <c r="Q165" i="1" a="1"/>
  <c r="Q165" i="1" s="1"/>
  <c r="P165" i="1" a="1"/>
  <c r="P165" i="1" s="1"/>
  <c r="O165" i="1"/>
  <c r="N165" i="1" a="1"/>
  <c r="N165" i="1" s="1"/>
  <c r="M165" i="1"/>
  <c r="L165" i="1"/>
  <c r="K165" i="1"/>
  <c r="J165" i="1"/>
  <c r="I165" i="1"/>
  <c r="H165" i="1"/>
  <c r="Q164" i="1" a="1"/>
  <c r="Q164" i="1" s="1"/>
  <c r="P164" i="1"/>
  <c r="P164" i="1" a="1"/>
  <c r="O164" i="1"/>
  <c r="N164" i="1" a="1"/>
  <c r="N164" i="1" s="1"/>
  <c r="M164" i="1"/>
  <c r="L164" i="1"/>
  <c r="K164" i="1"/>
  <c r="J164" i="1"/>
  <c r="I164" i="1"/>
  <c r="H164" i="1"/>
  <c r="Q163" i="1" a="1"/>
  <c r="Q163" i="1" s="1"/>
  <c r="P163" i="1" a="1"/>
  <c r="P163" i="1" s="1"/>
  <c r="O163" i="1"/>
  <c r="N163" i="1" a="1"/>
  <c r="N163" i="1" s="1"/>
  <c r="M163" i="1"/>
  <c r="L163" i="1"/>
  <c r="K163" i="1"/>
  <c r="J163" i="1"/>
  <c r="I163" i="1"/>
  <c r="H163" i="1"/>
  <c r="Q162" i="1"/>
  <c r="Q162" i="1" a="1"/>
  <c r="P162" i="1" a="1"/>
  <c r="P162" i="1" s="1"/>
  <c r="O162" i="1"/>
  <c r="N162" i="1" a="1"/>
  <c r="N162" i="1" s="1"/>
  <c r="M162" i="1"/>
  <c r="L162" i="1"/>
  <c r="K162" i="1"/>
  <c r="J162" i="1"/>
  <c r="I162" i="1"/>
  <c r="H162" i="1"/>
  <c r="Q161" i="1" a="1"/>
  <c r="Q161" i="1" s="1"/>
  <c r="P161" i="1" a="1"/>
  <c r="P161" i="1" s="1"/>
  <c r="O161" i="1"/>
  <c r="N161" i="1"/>
  <c r="N161" i="1" a="1"/>
  <c r="M161" i="1"/>
  <c r="L161" i="1"/>
  <c r="K161" i="1"/>
  <c r="J161" i="1"/>
  <c r="I161" i="1"/>
  <c r="H161" i="1"/>
  <c r="Q160" i="1" a="1"/>
  <c r="Q160" i="1" s="1"/>
  <c r="P160" i="1" a="1"/>
  <c r="P160" i="1" s="1"/>
  <c r="O160" i="1"/>
  <c r="N160" i="1" a="1"/>
  <c r="N160" i="1" s="1"/>
  <c r="M160" i="1"/>
  <c r="L160" i="1"/>
  <c r="K160" i="1"/>
  <c r="J160" i="1"/>
  <c r="I160" i="1"/>
  <c r="H160" i="1"/>
  <c r="Q159" i="1"/>
  <c r="Q159" i="1" a="1"/>
  <c r="P159" i="1" a="1"/>
  <c r="P159" i="1" s="1"/>
  <c r="O159" i="1"/>
  <c r="N159" i="1"/>
  <c r="N159" i="1" a="1"/>
  <c r="M159" i="1"/>
  <c r="L159" i="1"/>
  <c r="K159" i="1"/>
  <c r="J159" i="1"/>
  <c r="I159" i="1"/>
  <c r="H159" i="1"/>
  <c r="Q158" i="1" a="1"/>
  <c r="Q158" i="1" s="1"/>
  <c r="P158" i="1"/>
  <c r="P158" i="1" a="1"/>
  <c r="O158" i="1"/>
  <c r="N158" i="1" a="1"/>
  <c r="N158" i="1" s="1"/>
  <c r="M158" i="1"/>
  <c r="L158" i="1"/>
  <c r="K158" i="1"/>
  <c r="J158" i="1"/>
  <c r="I158" i="1"/>
  <c r="H158" i="1"/>
  <c r="Q157" i="1" a="1"/>
  <c r="Q157" i="1" s="1"/>
  <c r="P157" i="1" a="1"/>
  <c r="P157" i="1" s="1"/>
  <c r="O157" i="1"/>
  <c r="N157" i="1" a="1"/>
  <c r="N157" i="1" s="1"/>
  <c r="M157" i="1"/>
  <c r="L157" i="1"/>
  <c r="K157" i="1"/>
  <c r="J157" i="1"/>
  <c r="I157" i="1"/>
  <c r="H157" i="1"/>
  <c r="Q156" i="1"/>
  <c r="Q156" i="1" a="1"/>
  <c r="P156" i="1"/>
  <c r="P156" i="1" a="1"/>
  <c r="O156" i="1"/>
  <c r="N156" i="1" a="1"/>
  <c r="N156" i="1" s="1"/>
  <c r="M156" i="1"/>
  <c r="L156" i="1"/>
  <c r="K156" i="1"/>
  <c r="J156" i="1"/>
  <c r="I156" i="1"/>
  <c r="H156" i="1"/>
  <c r="Q155" i="1" a="1"/>
  <c r="Q155" i="1" s="1"/>
  <c r="P155" i="1" a="1"/>
  <c r="P155" i="1" s="1"/>
  <c r="O155" i="1"/>
  <c r="N155" i="1"/>
  <c r="N155" i="1" a="1"/>
  <c r="M155" i="1"/>
  <c r="L155" i="1"/>
  <c r="K155" i="1"/>
  <c r="J155" i="1"/>
  <c r="I155" i="1"/>
  <c r="H155" i="1"/>
  <c r="Q154" i="1"/>
  <c r="Q154" i="1" a="1"/>
  <c r="P154" i="1" a="1"/>
  <c r="P154" i="1" s="1"/>
  <c r="O154" i="1"/>
  <c r="N154" i="1" a="1"/>
  <c r="N154" i="1" s="1"/>
  <c r="M154" i="1"/>
  <c r="L154" i="1"/>
  <c r="K154" i="1"/>
  <c r="J154" i="1"/>
  <c r="I154" i="1"/>
  <c r="H154" i="1"/>
  <c r="Q153" i="1" a="1"/>
  <c r="Q153" i="1" s="1"/>
  <c r="P153" i="1" a="1"/>
  <c r="P153" i="1" s="1"/>
  <c r="O153" i="1"/>
  <c r="N153" i="1" a="1"/>
  <c r="N153" i="1" s="1"/>
  <c r="M153" i="1"/>
  <c r="L153" i="1"/>
  <c r="K153" i="1"/>
  <c r="J153" i="1"/>
  <c r="I153" i="1"/>
  <c r="H153" i="1"/>
  <c r="Q152" i="1" a="1"/>
  <c r="Q152" i="1" s="1"/>
  <c r="P152" i="1"/>
  <c r="P152" i="1" a="1"/>
  <c r="O152" i="1"/>
  <c r="N152" i="1" a="1"/>
  <c r="N152" i="1" s="1"/>
  <c r="M152" i="1"/>
  <c r="L152" i="1"/>
  <c r="K152" i="1"/>
  <c r="J152" i="1"/>
  <c r="I152" i="1"/>
  <c r="H152" i="1"/>
  <c r="Q151" i="1" a="1"/>
  <c r="Q151" i="1" s="1"/>
  <c r="P151" i="1" a="1"/>
  <c r="P151" i="1" s="1"/>
  <c r="O151" i="1"/>
  <c r="N151" i="1" a="1"/>
  <c r="N151" i="1" s="1"/>
  <c r="M151" i="1"/>
  <c r="L151" i="1"/>
  <c r="K151" i="1"/>
  <c r="J151" i="1"/>
  <c r="I151" i="1"/>
  <c r="H151" i="1"/>
  <c r="Q150" i="1"/>
  <c r="Q150" i="1" a="1"/>
  <c r="P150" i="1" a="1"/>
  <c r="P150" i="1" s="1"/>
  <c r="O150" i="1"/>
  <c r="N150" i="1" a="1"/>
  <c r="N150" i="1" s="1"/>
  <c r="M150" i="1"/>
  <c r="L150" i="1"/>
  <c r="K150" i="1"/>
  <c r="J150" i="1"/>
  <c r="I150" i="1"/>
  <c r="H150" i="1"/>
  <c r="Q149" i="1" a="1"/>
  <c r="Q149" i="1" s="1"/>
  <c r="P149" i="1" a="1"/>
  <c r="P149" i="1" s="1"/>
  <c r="O149" i="1"/>
  <c r="N149" i="1"/>
  <c r="N149" i="1" a="1"/>
  <c r="M149" i="1"/>
  <c r="L149" i="1"/>
  <c r="K149" i="1"/>
  <c r="J149" i="1"/>
  <c r="I149" i="1"/>
  <c r="H149" i="1"/>
  <c r="Q148" i="1" a="1"/>
  <c r="Q148" i="1" s="1"/>
  <c r="P148" i="1"/>
  <c r="P148" i="1" a="1"/>
  <c r="O148" i="1"/>
  <c r="N148" i="1" a="1"/>
  <c r="N148" i="1" s="1"/>
  <c r="M148" i="1"/>
  <c r="L148" i="1"/>
  <c r="K148" i="1"/>
  <c r="J148" i="1"/>
  <c r="I148" i="1"/>
  <c r="H148" i="1"/>
  <c r="Q147" i="1" a="1"/>
  <c r="Q147" i="1" s="1"/>
  <c r="P147" i="1" a="1"/>
  <c r="P147" i="1" s="1"/>
  <c r="O147" i="1"/>
  <c r="N147" i="1"/>
  <c r="N147" i="1" a="1"/>
  <c r="M147" i="1"/>
  <c r="L147" i="1"/>
  <c r="K147" i="1"/>
  <c r="J147" i="1"/>
  <c r="I147" i="1"/>
  <c r="H147" i="1"/>
  <c r="Q146" i="1"/>
  <c r="Q146" i="1" a="1"/>
  <c r="P146" i="1"/>
  <c r="P146" i="1" a="1"/>
  <c r="O146" i="1"/>
  <c r="N146" i="1" a="1"/>
  <c r="N146" i="1" s="1"/>
  <c r="M146" i="1"/>
  <c r="L146" i="1"/>
  <c r="K146" i="1"/>
  <c r="J146" i="1"/>
  <c r="I146" i="1"/>
  <c r="H146" i="1"/>
  <c r="Q145" i="1" a="1"/>
  <c r="Q145" i="1" s="1"/>
  <c r="P145" i="1" a="1"/>
  <c r="P145" i="1" s="1"/>
  <c r="O145" i="1"/>
  <c r="N145" i="1" a="1"/>
  <c r="N145" i="1" s="1"/>
  <c r="M145" i="1"/>
  <c r="L145" i="1"/>
  <c r="K145" i="1"/>
  <c r="J145" i="1"/>
  <c r="I145" i="1"/>
  <c r="H145" i="1"/>
  <c r="Q144" i="1"/>
  <c r="Q144" i="1" a="1"/>
  <c r="P144" i="1"/>
  <c r="P144" i="1" a="1"/>
  <c r="O144" i="1"/>
  <c r="N144" i="1" a="1"/>
  <c r="N144" i="1" s="1"/>
  <c r="M144" i="1"/>
  <c r="L144" i="1"/>
  <c r="K144" i="1"/>
  <c r="J144" i="1"/>
  <c r="I144" i="1"/>
  <c r="H144" i="1"/>
  <c r="Q143" i="1" a="1"/>
  <c r="Q143" i="1" s="1"/>
  <c r="P143" i="1" a="1"/>
  <c r="P143" i="1" s="1"/>
  <c r="O143" i="1"/>
  <c r="N143" i="1"/>
  <c r="N143" i="1" a="1"/>
  <c r="M143" i="1"/>
  <c r="L143" i="1"/>
  <c r="K143" i="1"/>
  <c r="J143" i="1"/>
  <c r="I143" i="1"/>
  <c r="H143" i="1"/>
  <c r="Q142" i="1"/>
  <c r="Q142" i="1" a="1"/>
  <c r="P142" i="1" a="1"/>
  <c r="P142" i="1" s="1"/>
  <c r="O142" i="1"/>
  <c r="N142" i="1" a="1"/>
  <c r="N142" i="1" s="1"/>
  <c r="M142" i="1"/>
  <c r="L142" i="1"/>
  <c r="K142" i="1"/>
  <c r="J142" i="1"/>
  <c r="I142" i="1"/>
  <c r="H142" i="1"/>
  <c r="Q141" i="1" a="1"/>
  <c r="Q141" i="1" s="1"/>
  <c r="P141" i="1" a="1"/>
  <c r="P141" i="1" s="1"/>
  <c r="O141" i="1"/>
  <c r="N141" i="1" a="1"/>
  <c r="N141" i="1" s="1"/>
  <c r="M141" i="1"/>
  <c r="L141" i="1"/>
  <c r="K141" i="1"/>
  <c r="J141" i="1"/>
  <c r="I141" i="1"/>
  <c r="H141" i="1"/>
  <c r="Q140" i="1"/>
  <c r="Q140" i="1" a="1"/>
  <c r="P140" i="1"/>
  <c r="P140" i="1" a="1"/>
  <c r="O140" i="1"/>
  <c r="N140" i="1"/>
  <c r="N140" i="1" a="1"/>
  <c r="M140" i="1"/>
  <c r="L140" i="1"/>
  <c r="K140" i="1"/>
  <c r="J140" i="1"/>
  <c r="I140" i="1"/>
  <c r="H140" i="1"/>
  <c r="Q139" i="1" a="1"/>
  <c r="Q139" i="1" s="1"/>
  <c r="P139" i="1" a="1"/>
  <c r="P139" i="1" s="1"/>
  <c r="O139" i="1"/>
  <c r="N139" i="1" a="1"/>
  <c r="N139" i="1" s="1"/>
  <c r="M139" i="1"/>
  <c r="L139" i="1"/>
  <c r="K139" i="1"/>
  <c r="J139" i="1"/>
  <c r="I139" i="1"/>
  <c r="H139" i="1"/>
  <c r="Q138" i="1"/>
  <c r="Q138" i="1" a="1"/>
  <c r="P138" i="1" a="1"/>
  <c r="P138" i="1" s="1"/>
  <c r="O138" i="1"/>
  <c r="N138" i="1" a="1"/>
  <c r="N138" i="1" s="1"/>
  <c r="M138" i="1"/>
  <c r="L138" i="1"/>
  <c r="K138" i="1"/>
  <c r="J138" i="1"/>
  <c r="I138" i="1"/>
  <c r="H138" i="1"/>
  <c r="Q137" i="1"/>
  <c r="Q137" i="1" a="1"/>
  <c r="P137" i="1"/>
  <c r="P137" i="1" a="1"/>
  <c r="O137" i="1"/>
  <c r="N137" i="1"/>
  <c r="N137" i="1" a="1"/>
  <c r="M137" i="1"/>
  <c r="L137" i="1"/>
  <c r="K137" i="1"/>
  <c r="J137" i="1"/>
  <c r="I137" i="1"/>
  <c r="H137" i="1"/>
  <c r="Q136" i="1" a="1"/>
  <c r="Q136" i="1" s="1"/>
  <c r="P136" i="1" a="1"/>
  <c r="P136" i="1" s="1"/>
  <c r="O136" i="1"/>
  <c r="N136" i="1" a="1"/>
  <c r="N136" i="1" s="1"/>
  <c r="M136" i="1"/>
  <c r="L136" i="1"/>
  <c r="K136" i="1"/>
  <c r="J136" i="1"/>
  <c r="I136" i="1"/>
  <c r="H136" i="1"/>
  <c r="Q135" i="1"/>
  <c r="Q135" i="1" a="1"/>
  <c r="P135" i="1" a="1"/>
  <c r="P135" i="1" s="1"/>
  <c r="O135" i="1"/>
  <c r="N135" i="1"/>
  <c r="N135" i="1" a="1"/>
  <c r="M135" i="1"/>
  <c r="L135" i="1"/>
  <c r="K135" i="1"/>
  <c r="J135" i="1"/>
  <c r="I135" i="1"/>
  <c r="H135" i="1"/>
  <c r="Q134" i="1" a="1"/>
  <c r="Q134" i="1" s="1"/>
  <c r="P134" i="1"/>
  <c r="P134" i="1" a="1"/>
  <c r="O134" i="1"/>
  <c r="N134" i="1" a="1"/>
  <c r="N134" i="1" s="1"/>
  <c r="M134" i="1"/>
  <c r="L134" i="1"/>
  <c r="K134" i="1"/>
  <c r="J134" i="1"/>
  <c r="I134" i="1"/>
  <c r="H134" i="1"/>
  <c r="Q133" i="1" a="1"/>
  <c r="Q133" i="1" s="1"/>
  <c r="P133" i="1" a="1"/>
  <c r="P133" i="1" s="1"/>
  <c r="O133" i="1"/>
  <c r="N133" i="1" a="1"/>
  <c r="N133" i="1" s="1"/>
  <c r="M133" i="1"/>
  <c r="L133" i="1"/>
  <c r="K133" i="1"/>
  <c r="J133" i="1"/>
  <c r="I133" i="1"/>
  <c r="H133" i="1"/>
  <c r="Q132" i="1"/>
  <c r="Q132" i="1" a="1"/>
  <c r="P132" i="1"/>
  <c r="P132" i="1" a="1"/>
  <c r="O132" i="1"/>
  <c r="N132" i="1" a="1"/>
  <c r="N132" i="1" s="1"/>
  <c r="M132" i="1"/>
  <c r="L132" i="1"/>
  <c r="K132" i="1"/>
  <c r="J132" i="1"/>
  <c r="I132" i="1"/>
  <c r="H132" i="1"/>
  <c r="Q131" i="1" a="1"/>
  <c r="Q131" i="1" s="1"/>
  <c r="P131" i="1" a="1"/>
  <c r="P131" i="1" s="1"/>
  <c r="O131" i="1"/>
  <c r="N131" i="1"/>
  <c r="N131" i="1" a="1"/>
  <c r="M131" i="1"/>
  <c r="L131" i="1"/>
  <c r="K131" i="1"/>
  <c r="J131" i="1"/>
  <c r="I131" i="1"/>
  <c r="H131" i="1"/>
  <c r="Q130" i="1"/>
  <c r="Q130" i="1" a="1"/>
  <c r="P130" i="1"/>
  <c r="P130" i="1" a="1"/>
  <c r="O130" i="1"/>
  <c r="N130" i="1" a="1"/>
  <c r="N130" i="1" s="1"/>
  <c r="M130" i="1"/>
  <c r="L130" i="1"/>
  <c r="K130" i="1"/>
  <c r="J130" i="1"/>
  <c r="I130" i="1"/>
  <c r="H130" i="1"/>
  <c r="Q129" i="1" a="1"/>
  <c r="Q129" i="1" s="1"/>
  <c r="P129" i="1" a="1"/>
  <c r="P129" i="1" s="1"/>
  <c r="O129" i="1"/>
  <c r="N129" i="1"/>
  <c r="N129" i="1" a="1"/>
  <c r="M129" i="1"/>
  <c r="L129" i="1"/>
  <c r="K129" i="1"/>
  <c r="J129" i="1"/>
  <c r="I129" i="1"/>
  <c r="H129" i="1"/>
  <c r="Q128" i="1"/>
  <c r="Q128" i="1" a="1"/>
  <c r="P128" i="1"/>
  <c r="P128" i="1" a="1"/>
  <c r="O128" i="1"/>
  <c r="N128" i="1" a="1"/>
  <c r="N128" i="1" s="1"/>
  <c r="M128" i="1"/>
  <c r="L128" i="1"/>
  <c r="K128" i="1"/>
  <c r="J128" i="1"/>
  <c r="I128" i="1"/>
  <c r="H128" i="1"/>
  <c r="Q127" i="1" a="1"/>
  <c r="Q127" i="1" s="1"/>
  <c r="P127" i="1" a="1"/>
  <c r="P127" i="1" s="1"/>
  <c r="O127" i="1"/>
  <c r="N127" i="1" a="1"/>
  <c r="N127" i="1" s="1"/>
  <c r="M127" i="1"/>
  <c r="L127" i="1"/>
  <c r="K127" i="1"/>
  <c r="J127" i="1"/>
  <c r="I127" i="1"/>
  <c r="H127" i="1"/>
  <c r="Q126" i="1"/>
  <c r="Q126" i="1" a="1"/>
  <c r="P126" i="1"/>
  <c r="P126" i="1" a="1"/>
  <c r="O126" i="1"/>
  <c r="N126" i="1" a="1"/>
  <c r="N126" i="1" s="1"/>
  <c r="M126" i="1"/>
  <c r="L126" i="1"/>
  <c r="K126" i="1"/>
  <c r="J126" i="1"/>
  <c r="I126" i="1"/>
  <c r="H126" i="1"/>
  <c r="Q125" i="1" a="1"/>
  <c r="Q125" i="1" s="1"/>
  <c r="P125" i="1" a="1"/>
  <c r="P125" i="1" s="1"/>
  <c r="O125" i="1"/>
  <c r="N125" i="1"/>
  <c r="N125" i="1" a="1"/>
  <c r="M125" i="1"/>
  <c r="L125" i="1"/>
  <c r="K125" i="1"/>
  <c r="J125" i="1"/>
  <c r="I125" i="1"/>
  <c r="H125" i="1"/>
  <c r="Q124" i="1"/>
  <c r="Q124" i="1" a="1"/>
  <c r="P124" i="1" a="1"/>
  <c r="P124" i="1" s="1"/>
  <c r="O124" i="1"/>
  <c r="N124" i="1" a="1"/>
  <c r="N124" i="1" s="1"/>
  <c r="M124" i="1"/>
  <c r="L124" i="1"/>
  <c r="K124" i="1"/>
  <c r="J124" i="1"/>
  <c r="I124" i="1"/>
  <c r="H124" i="1"/>
  <c r="Q123" i="1" a="1"/>
  <c r="Q123" i="1" s="1"/>
  <c r="P123" i="1" a="1"/>
  <c r="P123" i="1" s="1"/>
  <c r="O123" i="1"/>
  <c r="N123" i="1"/>
  <c r="N123" i="1" a="1"/>
  <c r="M123" i="1"/>
  <c r="L123" i="1"/>
  <c r="K123" i="1"/>
  <c r="J123" i="1"/>
  <c r="I123" i="1"/>
  <c r="H123" i="1"/>
  <c r="Q122" i="1" a="1"/>
  <c r="Q122" i="1" s="1"/>
  <c r="P122" i="1"/>
  <c r="P122" i="1" a="1"/>
  <c r="O122" i="1"/>
  <c r="N122" i="1" a="1"/>
  <c r="N122" i="1" s="1"/>
  <c r="M122" i="1"/>
  <c r="L122" i="1"/>
  <c r="K122" i="1"/>
  <c r="J122" i="1"/>
  <c r="I122" i="1"/>
  <c r="H122" i="1"/>
  <c r="Q121" i="1" a="1"/>
  <c r="Q121" i="1" s="1"/>
  <c r="P121" i="1" a="1"/>
  <c r="P121" i="1" s="1"/>
  <c r="O121" i="1"/>
  <c r="N121" i="1" a="1"/>
  <c r="N121" i="1" s="1"/>
  <c r="M121" i="1"/>
  <c r="L121" i="1"/>
  <c r="K121" i="1"/>
  <c r="J121" i="1"/>
  <c r="I121" i="1"/>
  <c r="H121" i="1"/>
  <c r="Q120" i="1"/>
  <c r="Q120" i="1" a="1"/>
  <c r="P120" i="1"/>
  <c r="P120" i="1" a="1"/>
  <c r="O120" i="1"/>
  <c r="N120" i="1" a="1"/>
  <c r="N120" i="1" s="1"/>
  <c r="M120" i="1"/>
  <c r="L120" i="1"/>
  <c r="K120" i="1"/>
  <c r="J120" i="1"/>
  <c r="I120" i="1"/>
  <c r="H120" i="1"/>
  <c r="Q119" i="1" a="1"/>
  <c r="Q119" i="1" s="1"/>
  <c r="P119" i="1" a="1"/>
  <c r="P119" i="1" s="1"/>
  <c r="O119" i="1"/>
  <c r="N119" i="1"/>
  <c r="N119" i="1" a="1"/>
  <c r="M119" i="1"/>
  <c r="L119" i="1"/>
  <c r="K119" i="1"/>
  <c r="J119" i="1"/>
  <c r="I119" i="1"/>
  <c r="H119" i="1"/>
  <c r="Q118" i="1"/>
  <c r="Q118" i="1" a="1"/>
  <c r="P118" i="1" a="1"/>
  <c r="P118" i="1" s="1"/>
  <c r="O118" i="1"/>
  <c r="N118" i="1" a="1"/>
  <c r="N118" i="1" s="1"/>
  <c r="M118" i="1"/>
  <c r="L118" i="1"/>
  <c r="K118" i="1"/>
  <c r="J118" i="1"/>
  <c r="I118" i="1"/>
  <c r="H118" i="1"/>
  <c r="Q117" i="1" a="1"/>
  <c r="Q117" i="1" s="1"/>
  <c r="P117" i="1" a="1"/>
  <c r="P117" i="1" s="1"/>
  <c r="O117" i="1"/>
  <c r="N117" i="1"/>
  <c r="N117" i="1" a="1"/>
  <c r="M117" i="1"/>
  <c r="L117" i="1"/>
  <c r="K117" i="1"/>
  <c r="J117" i="1"/>
  <c r="I117" i="1"/>
  <c r="H117" i="1"/>
  <c r="Q116" i="1" a="1"/>
  <c r="Q116" i="1" s="1"/>
  <c r="P116" i="1"/>
  <c r="P116" i="1" a="1"/>
  <c r="O116" i="1"/>
  <c r="N116" i="1" a="1"/>
  <c r="N116" i="1" s="1"/>
  <c r="M116" i="1"/>
  <c r="L116" i="1"/>
  <c r="K116" i="1"/>
  <c r="J116" i="1"/>
  <c r="I116" i="1"/>
  <c r="H116" i="1"/>
  <c r="Q115" i="1" a="1"/>
  <c r="Q115" i="1" s="1"/>
  <c r="P115" i="1" a="1"/>
  <c r="P115" i="1" s="1"/>
  <c r="O115" i="1"/>
  <c r="N115" i="1" a="1"/>
  <c r="N115" i="1" s="1"/>
  <c r="M115" i="1"/>
  <c r="L115" i="1"/>
  <c r="K115" i="1"/>
  <c r="J115" i="1"/>
  <c r="I115" i="1"/>
  <c r="H115" i="1"/>
  <c r="Q114" i="1"/>
  <c r="Q114" i="1" a="1"/>
  <c r="P114" i="1"/>
  <c r="P114" i="1" a="1"/>
  <c r="O114" i="1"/>
  <c r="N114" i="1" a="1"/>
  <c r="N114" i="1" s="1"/>
  <c r="M114" i="1"/>
  <c r="L114" i="1"/>
  <c r="K114" i="1"/>
  <c r="J114" i="1"/>
  <c r="I114" i="1"/>
  <c r="H114" i="1"/>
  <c r="Q113" i="1" a="1"/>
  <c r="Q113" i="1" s="1"/>
  <c r="P113" i="1" a="1"/>
  <c r="P113" i="1" s="1"/>
  <c r="O113" i="1"/>
  <c r="N113" i="1"/>
  <c r="N113" i="1" a="1"/>
  <c r="M113" i="1"/>
  <c r="L113" i="1"/>
  <c r="K113" i="1"/>
  <c r="J113" i="1"/>
  <c r="I113" i="1"/>
  <c r="H113" i="1"/>
  <c r="Q112" i="1"/>
  <c r="Q112" i="1" a="1"/>
  <c r="P112" i="1" a="1"/>
  <c r="P112" i="1" s="1"/>
  <c r="O112" i="1"/>
  <c r="N112" i="1" a="1"/>
  <c r="N112" i="1" s="1"/>
  <c r="M112" i="1"/>
  <c r="L112" i="1"/>
  <c r="K112" i="1"/>
  <c r="J112" i="1"/>
  <c r="I112" i="1"/>
  <c r="H112" i="1"/>
  <c r="Q111" i="1" a="1"/>
  <c r="Q111" i="1" s="1"/>
  <c r="P111" i="1" a="1"/>
  <c r="P111" i="1" s="1"/>
  <c r="O111" i="1"/>
  <c r="N111" i="1"/>
  <c r="N111" i="1" a="1"/>
  <c r="M111" i="1"/>
  <c r="L111" i="1"/>
  <c r="K111" i="1"/>
  <c r="J111" i="1"/>
  <c r="I111" i="1"/>
  <c r="H111" i="1"/>
  <c r="Q110" i="1" a="1"/>
  <c r="Q110" i="1" s="1"/>
  <c r="P110" i="1"/>
  <c r="P110" i="1" a="1"/>
  <c r="O110" i="1"/>
  <c r="N110" i="1" a="1"/>
  <c r="N110" i="1" s="1"/>
  <c r="M110" i="1"/>
  <c r="L110" i="1"/>
  <c r="K110" i="1"/>
  <c r="J110" i="1"/>
  <c r="I110" i="1"/>
  <c r="H110" i="1"/>
  <c r="Q109" i="1" a="1"/>
  <c r="Q109" i="1" s="1"/>
  <c r="P109" i="1" a="1"/>
  <c r="P109" i="1" s="1"/>
  <c r="O109" i="1"/>
  <c r="N109" i="1" a="1"/>
  <c r="N109" i="1" s="1"/>
  <c r="M109" i="1"/>
  <c r="L109" i="1"/>
  <c r="K109" i="1"/>
  <c r="J109" i="1"/>
  <c r="I109" i="1"/>
  <c r="H109" i="1"/>
  <c r="Q108" i="1"/>
  <c r="Q108" i="1" a="1"/>
  <c r="P108" i="1"/>
  <c r="P108" i="1" a="1"/>
  <c r="O108" i="1"/>
  <c r="N108" i="1" a="1"/>
  <c r="N108" i="1" s="1"/>
  <c r="M108" i="1"/>
  <c r="L108" i="1"/>
  <c r="K108" i="1"/>
  <c r="J108" i="1"/>
  <c r="I108" i="1"/>
  <c r="H108" i="1"/>
  <c r="Q107" i="1" a="1"/>
  <c r="Q107" i="1" s="1"/>
  <c r="P107" i="1" a="1"/>
  <c r="P107" i="1" s="1"/>
  <c r="O107" i="1"/>
  <c r="N107" i="1"/>
  <c r="N107" i="1" a="1"/>
  <c r="M107" i="1"/>
  <c r="L107" i="1"/>
  <c r="K107" i="1"/>
  <c r="J107" i="1"/>
  <c r="I107" i="1"/>
  <c r="H107" i="1"/>
  <c r="Q106" i="1"/>
  <c r="Q106" i="1" a="1"/>
  <c r="P106" i="1" a="1"/>
  <c r="P106" i="1" s="1"/>
  <c r="O106" i="1"/>
  <c r="N106" i="1" a="1"/>
  <c r="N106" i="1" s="1"/>
  <c r="M106" i="1"/>
  <c r="L106" i="1"/>
  <c r="K106" i="1"/>
  <c r="J106" i="1"/>
  <c r="I106" i="1"/>
  <c r="H106" i="1"/>
  <c r="Q105" i="1" a="1"/>
  <c r="Q105" i="1" s="1"/>
  <c r="P105" i="1" a="1"/>
  <c r="P105" i="1" s="1"/>
  <c r="O105" i="1"/>
  <c r="N105" i="1"/>
  <c r="N105" i="1" a="1"/>
  <c r="M105" i="1"/>
  <c r="L105" i="1"/>
  <c r="K105" i="1"/>
  <c r="J105" i="1"/>
  <c r="I105" i="1"/>
  <c r="H105" i="1"/>
  <c r="Q104" i="1"/>
  <c r="Q104" i="1" a="1"/>
  <c r="P104" i="1"/>
  <c r="P104" i="1" a="1"/>
  <c r="O104" i="1"/>
  <c r="N104" i="1" a="1"/>
  <c r="N104" i="1" s="1"/>
  <c r="M104" i="1"/>
  <c r="L104" i="1"/>
  <c r="K104" i="1"/>
  <c r="J104" i="1"/>
  <c r="I104" i="1"/>
  <c r="H104" i="1"/>
  <c r="Q103" i="1" a="1"/>
  <c r="Q103" i="1" s="1"/>
  <c r="P103" i="1" a="1"/>
  <c r="P103" i="1" s="1"/>
  <c r="O103" i="1"/>
  <c r="N103" i="1" a="1"/>
  <c r="N103" i="1" s="1"/>
  <c r="M103" i="1"/>
  <c r="L103" i="1"/>
  <c r="K103" i="1"/>
  <c r="J103" i="1"/>
  <c r="I103" i="1"/>
  <c r="H103" i="1"/>
  <c r="Q102" i="1"/>
  <c r="Q102" i="1" a="1"/>
  <c r="P102" i="1"/>
  <c r="P102" i="1" a="1"/>
  <c r="O102" i="1"/>
  <c r="N102" i="1" a="1"/>
  <c r="N102" i="1" s="1"/>
  <c r="M102" i="1"/>
  <c r="L102" i="1"/>
  <c r="K102" i="1"/>
  <c r="J102" i="1"/>
  <c r="I102" i="1"/>
  <c r="H102" i="1"/>
  <c r="Q101" i="1" a="1"/>
  <c r="Q101" i="1" s="1"/>
  <c r="P101" i="1" a="1"/>
  <c r="P101" i="1" s="1"/>
  <c r="O101" i="1"/>
  <c r="N101" i="1"/>
  <c r="N101" i="1" a="1"/>
  <c r="M101" i="1"/>
  <c r="L101" i="1"/>
  <c r="K101" i="1"/>
  <c r="J101" i="1"/>
  <c r="I101" i="1"/>
  <c r="H101" i="1"/>
  <c r="Q100" i="1"/>
  <c r="Q100" i="1" a="1"/>
  <c r="P100" i="1" a="1"/>
  <c r="P100" i="1" s="1"/>
  <c r="O100" i="1"/>
  <c r="N100" i="1" a="1"/>
  <c r="N100" i="1" s="1"/>
  <c r="M100" i="1"/>
  <c r="L100" i="1"/>
  <c r="K100" i="1"/>
  <c r="J100" i="1"/>
  <c r="I100" i="1"/>
  <c r="H100" i="1"/>
  <c r="Q99" i="1" a="1"/>
  <c r="Q99" i="1" s="1"/>
  <c r="P99" i="1" a="1"/>
  <c r="P99" i="1" s="1"/>
  <c r="O99" i="1"/>
  <c r="N99" i="1"/>
  <c r="N99" i="1" a="1"/>
  <c r="M99" i="1"/>
  <c r="L99" i="1"/>
  <c r="K99" i="1"/>
  <c r="J99" i="1"/>
  <c r="I99" i="1"/>
  <c r="H99" i="1"/>
  <c r="Q98" i="1" a="1"/>
  <c r="Q98" i="1" s="1"/>
  <c r="P98" i="1"/>
  <c r="P98" i="1" a="1"/>
  <c r="O98" i="1"/>
  <c r="N98" i="1" a="1"/>
  <c r="N98" i="1" s="1"/>
  <c r="M98" i="1"/>
  <c r="L98" i="1"/>
  <c r="K98" i="1"/>
  <c r="J98" i="1"/>
  <c r="I98" i="1"/>
  <c r="H98" i="1"/>
  <c r="Q97" i="1" a="1"/>
  <c r="Q97" i="1" s="1"/>
  <c r="P97" i="1" a="1"/>
  <c r="P97" i="1" s="1"/>
  <c r="O97" i="1"/>
  <c r="N97" i="1" a="1"/>
  <c r="N97" i="1" s="1"/>
  <c r="M97" i="1"/>
  <c r="L97" i="1"/>
  <c r="K97" i="1"/>
  <c r="J97" i="1"/>
  <c r="I97" i="1"/>
  <c r="H97" i="1"/>
  <c r="Q96" i="1"/>
  <c r="Q96" i="1" a="1"/>
  <c r="P96" i="1"/>
  <c r="P96" i="1" a="1"/>
  <c r="O96" i="1"/>
  <c r="N96" i="1" a="1"/>
  <c r="N96" i="1" s="1"/>
  <c r="M96" i="1"/>
  <c r="L96" i="1"/>
  <c r="K96" i="1"/>
  <c r="J96" i="1"/>
  <c r="I96" i="1"/>
  <c r="H96" i="1"/>
  <c r="Q95" i="1" a="1"/>
  <c r="Q95" i="1" s="1"/>
  <c r="P95" i="1" a="1"/>
  <c r="P95" i="1" s="1"/>
  <c r="O95" i="1"/>
  <c r="N95" i="1"/>
  <c r="N95" i="1" a="1"/>
  <c r="M95" i="1"/>
  <c r="L95" i="1"/>
  <c r="K95" i="1"/>
  <c r="J95" i="1"/>
  <c r="I95" i="1"/>
  <c r="H95" i="1"/>
  <c r="Q94" i="1"/>
  <c r="Q94" i="1" a="1"/>
  <c r="P94" i="1" a="1"/>
  <c r="P94" i="1" s="1"/>
  <c r="O94" i="1"/>
  <c r="N94" i="1" a="1"/>
  <c r="N94" i="1" s="1"/>
  <c r="M94" i="1"/>
  <c r="L94" i="1"/>
  <c r="K94" i="1"/>
  <c r="J94" i="1"/>
  <c r="I94" i="1"/>
  <c r="H94" i="1"/>
  <c r="Q93" i="1" a="1"/>
  <c r="Q93" i="1" s="1"/>
  <c r="P93" i="1" a="1"/>
  <c r="P93" i="1" s="1"/>
  <c r="O93" i="1"/>
  <c r="N93" i="1"/>
  <c r="N93" i="1" a="1"/>
  <c r="M93" i="1"/>
  <c r="L93" i="1"/>
  <c r="K93" i="1"/>
  <c r="J93" i="1"/>
  <c r="I93" i="1"/>
  <c r="H93" i="1"/>
  <c r="Q92" i="1" a="1"/>
  <c r="Q92" i="1" s="1"/>
  <c r="P92" i="1"/>
  <c r="P92" i="1" a="1"/>
  <c r="O92" i="1"/>
  <c r="N92" i="1" a="1"/>
  <c r="N92" i="1" s="1"/>
  <c r="M92" i="1"/>
  <c r="L92" i="1"/>
  <c r="K92" i="1"/>
  <c r="J92" i="1"/>
  <c r="I92" i="1"/>
  <c r="H92" i="1"/>
  <c r="Q91" i="1" a="1"/>
  <c r="Q91" i="1" s="1"/>
  <c r="P91" i="1" a="1"/>
  <c r="P91" i="1" s="1"/>
  <c r="O91" i="1"/>
  <c r="N91" i="1" a="1"/>
  <c r="N91" i="1" s="1"/>
  <c r="M91" i="1"/>
  <c r="L91" i="1"/>
  <c r="K91" i="1"/>
  <c r="J91" i="1"/>
  <c r="I91" i="1"/>
  <c r="H91" i="1"/>
  <c r="Q90" i="1"/>
  <c r="Q90" i="1" a="1"/>
  <c r="P90" i="1"/>
  <c r="P90" i="1" a="1"/>
  <c r="O90" i="1"/>
  <c r="N90" i="1" a="1"/>
  <c r="N90" i="1" s="1"/>
  <c r="M90" i="1"/>
  <c r="L90" i="1"/>
  <c r="K90" i="1"/>
  <c r="J90" i="1"/>
  <c r="I90" i="1"/>
  <c r="H90" i="1"/>
  <c r="Q89" i="1" a="1"/>
  <c r="Q89" i="1" s="1"/>
  <c r="P89" i="1" a="1"/>
  <c r="P89" i="1" s="1"/>
  <c r="O89" i="1"/>
  <c r="N89" i="1"/>
  <c r="N89" i="1" a="1"/>
  <c r="M89" i="1"/>
  <c r="L89" i="1"/>
  <c r="K89" i="1"/>
  <c r="J89" i="1"/>
  <c r="I89" i="1"/>
  <c r="H89" i="1"/>
  <c r="Q88" i="1"/>
  <c r="Q88" i="1" a="1"/>
  <c r="P88" i="1" a="1"/>
  <c r="P88" i="1" s="1"/>
  <c r="O88" i="1"/>
  <c r="N88" i="1" a="1"/>
  <c r="N88" i="1" s="1"/>
  <c r="M88" i="1"/>
  <c r="L88" i="1"/>
  <c r="K88" i="1"/>
  <c r="J88" i="1"/>
  <c r="I88" i="1"/>
  <c r="H88" i="1"/>
  <c r="Q87" i="1" a="1"/>
  <c r="Q87" i="1" s="1"/>
  <c r="P87" i="1" a="1"/>
  <c r="P87" i="1" s="1"/>
  <c r="O87" i="1"/>
  <c r="N87" i="1"/>
  <c r="N87" i="1" a="1"/>
  <c r="M87" i="1"/>
  <c r="L87" i="1"/>
  <c r="K87" i="1"/>
  <c r="J87" i="1"/>
  <c r="I87" i="1"/>
  <c r="H87" i="1"/>
  <c r="Q86" i="1" a="1"/>
  <c r="Q86" i="1" s="1"/>
  <c r="P86" i="1"/>
  <c r="P86" i="1" a="1"/>
  <c r="O86" i="1"/>
  <c r="N86" i="1" a="1"/>
  <c r="N86" i="1" s="1"/>
  <c r="M86" i="1"/>
  <c r="L86" i="1"/>
  <c r="K86" i="1"/>
  <c r="J86" i="1"/>
  <c r="I86" i="1"/>
  <c r="H86" i="1"/>
  <c r="Q85" i="1" a="1"/>
  <c r="Q85" i="1" s="1"/>
  <c r="P85" i="1" a="1"/>
  <c r="P85" i="1" s="1"/>
  <c r="O85" i="1"/>
  <c r="N85" i="1" a="1"/>
  <c r="N85" i="1" s="1"/>
  <c r="M85" i="1"/>
  <c r="L85" i="1"/>
  <c r="K85" i="1"/>
  <c r="J85" i="1"/>
  <c r="I85" i="1"/>
  <c r="H85" i="1"/>
  <c r="Q84" i="1"/>
  <c r="Q84" i="1" a="1"/>
  <c r="P84" i="1"/>
  <c r="P84" i="1" a="1"/>
  <c r="O84" i="1"/>
  <c r="N84" i="1" a="1"/>
  <c r="N84" i="1" s="1"/>
  <c r="M84" i="1"/>
  <c r="L84" i="1"/>
  <c r="K84" i="1"/>
  <c r="J84" i="1"/>
  <c r="I84" i="1"/>
  <c r="H84" i="1"/>
  <c r="Q83" i="1" a="1"/>
  <c r="Q83" i="1" s="1"/>
  <c r="P83" i="1" a="1"/>
  <c r="P83" i="1" s="1"/>
  <c r="O83" i="1"/>
  <c r="N83" i="1"/>
  <c r="N83" i="1" a="1"/>
  <c r="M83" i="1"/>
  <c r="L83" i="1"/>
  <c r="K83" i="1"/>
  <c r="J83" i="1"/>
  <c r="I83" i="1"/>
  <c r="H83" i="1"/>
  <c r="Q82" i="1"/>
  <c r="Q82" i="1" a="1"/>
  <c r="P82" i="1" a="1"/>
  <c r="P82" i="1" s="1"/>
  <c r="O82" i="1"/>
  <c r="N82" i="1" a="1"/>
  <c r="N82" i="1" s="1"/>
  <c r="M82" i="1"/>
  <c r="L82" i="1"/>
  <c r="K82" i="1"/>
  <c r="J82" i="1"/>
  <c r="I82" i="1"/>
  <c r="H82" i="1"/>
  <c r="Q81" i="1" a="1"/>
  <c r="Q81" i="1" s="1"/>
  <c r="P81" i="1" a="1"/>
  <c r="P81" i="1" s="1"/>
  <c r="O81" i="1"/>
  <c r="N81" i="1"/>
  <c r="N81" i="1" a="1"/>
  <c r="M81" i="1"/>
  <c r="L81" i="1"/>
  <c r="K81" i="1"/>
  <c r="J81" i="1"/>
  <c r="I81" i="1"/>
  <c r="H81" i="1"/>
  <c r="Q80" i="1" a="1"/>
  <c r="Q80" i="1" s="1"/>
  <c r="P80" i="1"/>
  <c r="P80" i="1" a="1"/>
  <c r="O80" i="1"/>
  <c r="N80" i="1" a="1"/>
  <c r="N80" i="1" s="1"/>
  <c r="M80" i="1"/>
  <c r="L80" i="1"/>
  <c r="K80" i="1"/>
  <c r="J80" i="1"/>
  <c r="I80" i="1"/>
  <c r="H80" i="1"/>
  <c r="Q79" i="1" a="1"/>
  <c r="Q79" i="1" s="1"/>
  <c r="P79" i="1" a="1"/>
  <c r="P79" i="1" s="1"/>
  <c r="O79" i="1"/>
  <c r="N79" i="1" a="1"/>
  <c r="N79" i="1" s="1"/>
  <c r="M79" i="1"/>
  <c r="L79" i="1"/>
  <c r="K79" i="1"/>
  <c r="J79" i="1"/>
  <c r="I79" i="1"/>
  <c r="H79" i="1"/>
  <c r="Q78" i="1"/>
  <c r="Q78" i="1" a="1"/>
  <c r="P78" i="1"/>
  <c r="P78" i="1" a="1"/>
  <c r="O78" i="1"/>
  <c r="N78" i="1" a="1"/>
  <c r="N78" i="1" s="1"/>
  <c r="M78" i="1"/>
  <c r="L78" i="1"/>
  <c r="K78" i="1"/>
  <c r="J78" i="1"/>
  <c r="I78" i="1"/>
  <c r="H78" i="1"/>
  <c r="Q77" i="1" a="1"/>
  <c r="Q77" i="1" s="1"/>
  <c r="P77" i="1" a="1"/>
  <c r="P77" i="1" s="1"/>
  <c r="O77" i="1"/>
  <c r="N77" i="1"/>
  <c r="N77" i="1" a="1"/>
  <c r="M77" i="1"/>
  <c r="L77" i="1"/>
  <c r="K77" i="1"/>
  <c r="J77" i="1"/>
  <c r="I77" i="1"/>
  <c r="H77" i="1"/>
  <c r="Q76" i="1"/>
  <c r="Q76" i="1" a="1"/>
  <c r="P76" i="1" a="1"/>
  <c r="P76" i="1" s="1"/>
  <c r="O76" i="1"/>
  <c r="N76" i="1" a="1"/>
  <c r="N76" i="1" s="1"/>
  <c r="M76" i="1"/>
  <c r="L76" i="1"/>
  <c r="K76" i="1"/>
  <c r="J76" i="1"/>
  <c r="I76" i="1"/>
  <c r="H76" i="1"/>
  <c r="Q75" i="1" a="1"/>
  <c r="Q75" i="1" s="1"/>
  <c r="P75" i="1" a="1"/>
  <c r="P75" i="1" s="1"/>
  <c r="O75" i="1"/>
  <c r="N75" i="1"/>
  <c r="N75" i="1" a="1"/>
  <c r="M75" i="1"/>
  <c r="L75" i="1"/>
  <c r="K75" i="1"/>
  <c r="J75" i="1"/>
  <c r="I75" i="1"/>
  <c r="H75" i="1"/>
  <c r="Q74" i="1" a="1"/>
  <c r="Q74" i="1" s="1"/>
  <c r="P74" i="1"/>
  <c r="P74" i="1" a="1"/>
  <c r="O74" i="1"/>
  <c r="N74" i="1" a="1"/>
  <c r="N74" i="1" s="1"/>
  <c r="M74" i="1"/>
  <c r="L74" i="1"/>
  <c r="K74" i="1"/>
  <c r="J74" i="1"/>
  <c r="I74" i="1"/>
  <c r="H74" i="1"/>
  <c r="Q73" i="1" a="1"/>
  <c r="Q73" i="1" s="1"/>
  <c r="P73" i="1" a="1"/>
  <c r="P73" i="1" s="1"/>
  <c r="O73" i="1"/>
  <c r="N73" i="1" a="1"/>
  <c r="N73" i="1" s="1"/>
  <c r="M73" i="1"/>
  <c r="L73" i="1"/>
  <c r="K73" i="1"/>
  <c r="J73" i="1"/>
  <c r="I73" i="1"/>
  <c r="H73" i="1"/>
  <c r="Q72" i="1"/>
  <c r="Q72" i="1" a="1"/>
  <c r="P72" i="1"/>
  <c r="P72" i="1" a="1"/>
  <c r="O72" i="1"/>
  <c r="N72" i="1" a="1"/>
  <c r="N72" i="1" s="1"/>
  <c r="M72" i="1"/>
  <c r="L72" i="1"/>
  <c r="K72" i="1"/>
  <c r="J72" i="1"/>
  <c r="I72" i="1"/>
  <c r="H72" i="1"/>
  <c r="Q71" i="1" a="1"/>
  <c r="Q71" i="1" s="1"/>
  <c r="P71" i="1" a="1"/>
  <c r="P71" i="1" s="1"/>
  <c r="O71" i="1"/>
  <c r="N71" i="1"/>
  <c r="N71" i="1" a="1"/>
  <c r="M71" i="1"/>
  <c r="L71" i="1"/>
  <c r="K71" i="1"/>
  <c r="J71" i="1"/>
  <c r="I71" i="1"/>
  <c r="H71" i="1"/>
  <c r="Q70" i="1"/>
  <c r="Q70" i="1" a="1"/>
  <c r="P70" i="1" a="1"/>
  <c r="P70" i="1" s="1"/>
  <c r="O70" i="1"/>
  <c r="N70" i="1" a="1"/>
  <c r="N70" i="1" s="1"/>
  <c r="M70" i="1"/>
  <c r="L70" i="1"/>
  <c r="K70" i="1"/>
  <c r="J70" i="1"/>
  <c r="I70" i="1"/>
  <c r="H70" i="1"/>
  <c r="Q69" i="1" a="1"/>
  <c r="Q69" i="1" s="1"/>
  <c r="P69" i="1" a="1"/>
  <c r="P69" i="1" s="1"/>
  <c r="O69" i="1"/>
  <c r="N69" i="1"/>
  <c r="N69" i="1" a="1"/>
  <c r="M69" i="1"/>
  <c r="L69" i="1"/>
  <c r="K69" i="1"/>
  <c r="J69" i="1"/>
  <c r="I69" i="1"/>
  <c r="H69" i="1"/>
  <c r="Q68" i="1" a="1"/>
  <c r="Q68" i="1" s="1"/>
  <c r="P68" i="1"/>
  <c r="P68" i="1" a="1"/>
  <c r="O68" i="1"/>
  <c r="N68" i="1" a="1"/>
  <c r="N68" i="1" s="1"/>
  <c r="M68" i="1"/>
  <c r="L68" i="1"/>
  <c r="K68" i="1"/>
  <c r="J68" i="1"/>
  <c r="I68" i="1"/>
  <c r="H68" i="1"/>
  <c r="Q67" i="1" a="1"/>
  <c r="Q67" i="1" s="1"/>
  <c r="P67" i="1" a="1"/>
  <c r="P67" i="1" s="1"/>
  <c r="O67" i="1"/>
  <c r="N67" i="1" a="1"/>
  <c r="N67" i="1" s="1"/>
  <c r="M67" i="1"/>
  <c r="L67" i="1"/>
  <c r="K67" i="1"/>
  <c r="J67" i="1"/>
  <c r="I67" i="1"/>
  <c r="H67" i="1"/>
  <c r="Q66" i="1"/>
  <c r="Q66" i="1" a="1"/>
  <c r="P66" i="1"/>
  <c r="P66" i="1" a="1"/>
  <c r="O66" i="1"/>
  <c r="N66" i="1" a="1"/>
  <c r="N66" i="1" s="1"/>
  <c r="M66" i="1"/>
  <c r="L66" i="1"/>
  <c r="K66" i="1"/>
  <c r="J66" i="1"/>
  <c r="I66" i="1"/>
  <c r="H66" i="1"/>
  <c r="Q65" i="1" a="1"/>
  <c r="Q65" i="1" s="1"/>
  <c r="P65" i="1" a="1"/>
  <c r="P65" i="1" s="1"/>
  <c r="O65" i="1"/>
  <c r="N65" i="1"/>
  <c r="N65" i="1" a="1"/>
  <c r="M65" i="1"/>
  <c r="L65" i="1"/>
  <c r="K65" i="1"/>
  <c r="J65" i="1"/>
  <c r="I65" i="1"/>
  <c r="H65" i="1"/>
  <c r="Q64" i="1"/>
  <c r="Q64" i="1" a="1"/>
  <c r="P64" i="1" a="1"/>
  <c r="P64" i="1" s="1"/>
  <c r="O64" i="1"/>
  <c r="N64" i="1" a="1"/>
  <c r="N64" i="1" s="1"/>
  <c r="M64" i="1"/>
  <c r="L64" i="1"/>
  <c r="K64" i="1"/>
  <c r="J64" i="1"/>
  <c r="I64" i="1"/>
  <c r="H64" i="1"/>
  <c r="Q63" i="1" a="1"/>
  <c r="Q63" i="1" s="1"/>
  <c r="P63" i="1" a="1"/>
  <c r="P63" i="1" s="1"/>
  <c r="O63" i="1"/>
  <c r="N63" i="1"/>
  <c r="N63" i="1" a="1"/>
  <c r="M63" i="1"/>
  <c r="L63" i="1"/>
  <c r="K63" i="1"/>
  <c r="J63" i="1"/>
  <c r="I63" i="1"/>
  <c r="H63" i="1"/>
  <c r="Q62" i="1" a="1"/>
  <c r="Q62" i="1" s="1"/>
  <c r="P62" i="1"/>
  <c r="P62" i="1" a="1"/>
  <c r="O62" i="1"/>
  <c r="N62" i="1" a="1"/>
  <c r="N62" i="1" s="1"/>
  <c r="M62" i="1"/>
  <c r="L62" i="1"/>
  <c r="K62" i="1"/>
  <c r="J62" i="1"/>
  <c r="I62" i="1"/>
  <c r="H62" i="1"/>
  <c r="Q61" i="1" a="1"/>
  <c r="Q61" i="1" s="1"/>
  <c r="P61" i="1" a="1"/>
  <c r="P61" i="1" s="1"/>
  <c r="O61" i="1"/>
  <c r="N61" i="1" a="1"/>
  <c r="N61" i="1" s="1"/>
  <c r="M61" i="1"/>
  <c r="L61" i="1"/>
  <c r="K61" i="1"/>
  <c r="J61" i="1"/>
  <c r="I61" i="1"/>
  <c r="H61" i="1"/>
  <c r="Q60" i="1"/>
  <c r="Q60" i="1" a="1"/>
  <c r="P60" i="1"/>
  <c r="P60" i="1" a="1"/>
  <c r="O60" i="1"/>
  <c r="N60" i="1" a="1"/>
  <c r="N60" i="1" s="1"/>
  <c r="M60" i="1"/>
  <c r="L60" i="1"/>
  <c r="K60" i="1"/>
  <c r="J60" i="1"/>
  <c r="I60" i="1"/>
  <c r="H60" i="1"/>
  <c r="Q59" i="1" a="1"/>
  <c r="Q59" i="1" s="1"/>
  <c r="P59" i="1" a="1"/>
  <c r="P59" i="1" s="1"/>
  <c r="O59" i="1"/>
  <c r="N59" i="1"/>
  <c r="N59" i="1" a="1"/>
  <c r="M59" i="1"/>
  <c r="L59" i="1"/>
  <c r="K59" i="1"/>
  <c r="J59" i="1"/>
  <c r="I59" i="1"/>
  <c r="H59" i="1"/>
  <c r="Q58" i="1"/>
  <c r="Q58" i="1" a="1"/>
  <c r="P58" i="1" a="1"/>
  <c r="P58" i="1" s="1"/>
  <c r="O58" i="1"/>
  <c r="N58" i="1" a="1"/>
  <c r="N58" i="1" s="1"/>
  <c r="M58" i="1"/>
  <c r="L58" i="1"/>
  <c r="K58" i="1"/>
  <c r="J58" i="1"/>
  <c r="I58" i="1"/>
  <c r="H58" i="1"/>
  <c r="Q57" i="1" a="1"/>
  <c r="Q57" i="1" s="1"/>
  <c r="P57" i="1" a="1"/>
  <c r="P57" i="1" s="1"/>
  <c r="O57" i="1"/>
  <c r="N57" i="1"/>
  <c r="N57" i="1" a="1"/>
  <c r="M57" i="1"/>
  <c r="L57" i="1"/>
  <c r="K57" i="1"/>
  <c r="J57" i="1"/>
  <c r="I57" i="1"/>
  <c r="H57" i="1"/>
  <c r="Q56" i="1" a="1"/>
  <c r="Q56" i="1" s="1"/>
  <c r="P56" i="1"/>
  <c r="P56" i="1" a="1"/>
  <c r="O56" i="1"/>
  <c r="N56" i="1" a="1"/>
  <c r="N56" i="1" s="1"/>
  <c r="M56" i="1"/>
  <c r="L56" i="1"/>
  <c r="K56" i="1"/>
  <c r="J56" i="1"/>
  <c r="I56" i="1"/>
  <c r="H56" i="1"/>
  <c r="Q55" i="1" a="1"/>
  <c r="Q55" i="1" s="1"/>
  <c r="P55" i="1" a="1"/>
  <c r="P55" i="1" s="1"/>
  <c r="O55" i="1"/>
  <c r="N55" i="1" a="1"/>
  <c r="N55" i="1" s="1"/>
  <c r="M55" i="1"/>
  <c r="L55" i="1"/>
  <c r="K55" i="1"/>
  <c r="J55" i="1"/>
  <c r="I55" i="1"/>
  <c r="H55" i="1"/>
  <c r="Q54" i="1"/>
  <c r="Q54" i="1" a="1"/>
  <c r="P54" i="1"/>
  <c r="P54" i="1" a="1"/>
  <c r="O54" i="1"/>
  <c r="N54" i="1" a="1"/>
  <c r="N54" i="1" s="1"/>
  <c r="M54" i="1"/>
  <c r="L54" i="1"/>
  <c r="K54" i="1"/>
  <c r="J54" i="1"/>
  <c r="I54" i="1"/>
  <c r="H54" i="1"/>
  <c r="Q53" i="1" a="1"/>
  <c r="Q53" i="1" s="1"/>
  <c r="P53" i="1" a="1"/>
  <c r="P53" i="1" s="1"/>
  <c r="O53" i="1"/>
  <c r="N53" i="1" a="1"/>
  <c r="N53" i="1" s="1"/>
  <c r="M53" i="1"/>
  <c r="L53" i="1"/>
  <c r="K53" i="1"/>
  <c r="J53" i="1"/>
  <c r="I53" i="1"/>
  <c r="H53" i="1"/>
  <c r="Q52" i="1"/>
  <c r="Q52" i="1" a="1"/>
  <c r="P52" i="1" a="1"/>
  <c r="P52" i="1" s="1"/>
  <c r="O52" i="1"/>
  <c r="N52" i="1" a="1"/>
  <c r="N52" i="1" s="1"/>
  <c r="M52" i="1"/>
  <c r="L52" i="1"/>
  <c r="K52" i="1"/>
  <c r="J52" i="1"/>
  <c r="I52" i="1"/>
  <c r="H52" i="1"/>
  <c r="Q51" i="1" a="1"/>
  <c r="Q51" i="1" s="1"/>
  <c r="P51" i="1" a="1"/>
  <c r="P51" i="1" s="1"/>
  <c r="O51" i="1"/>
  <c r="N51" i="1"/>
  <c r="N51" i="1" a="1"/>
  <c r="M51" i="1"/>
  <c r="L51" i="1"/>
  <c r="K51" i="1"/>
  <c r="J51" i="1"/>
  <c r="I51" i="1"/>
  <c r="H51" i="1"/>
  <c r="Q50" i="1" a="1"/>
  <c r="Q50" i="1" s="1"/>
  <c r="P50" i="1" a="1"/>
  <c r="P50" i="1" s="1"/>
  <c r="O50" i="1"/>
  <c r="N50" i="1" a="1"/>
  <c r="N50" i="1" s="1"/>
  <c r="M50" i="1"/>
  <c r="L50" i="1"/>
  <c r="K50" i="1"/>
  <c r="J50" i="1"/>
  <c r="I50" i="1"/>
  <c r="H50" i="1"/>
  <c r="Q49" i="1" a="1"/>
  <c r="Q49" i="1" s="1"/>
  <c r="P49" i="1" a="1"/>
  <c r="P49" i="1" s="1"/>
  <c r="O49" i="1"/>
  <c r="N49" i="1" a="1"/>
  <c r="N49" i="1" s="1"/>
  <c r="M49" i="1"/>
  <c r="L49" i="1"/>
  <c r="K49" i="1"/>
  <c r="J49" i="1"/>
  <c r="I49" i="1"/>
  <c r="H49" i="1"/>
  <c r="Q48" i="1" a="1"/>
  <c r="Q48" i="1" s="1"/>
  <c r="P48" i="1"/>
  <c r="P48" i="1" a="1"/>
  <c r="O48" i="1"/>
  <c r="N48" i="1" a="1"/>
  <c r="N48" i="1" s="1"/>
  <c r="M48" i="1"/>
  <c r="L48" i="1"/>
  <c r="K48" i="1"/>
  <c r="J48" i="1"/>
  <c r="I48" i="1"/>
  <c r="H48" i="1"/>
  <c r="Q47" i="1" a="1"/>
  <c r="Q47" i="1" s="1"/>
  <c r="P47" i="1" a="1"/>
  <c r="P47" i="1" s="1"/>
  <c r="O47" i="1"/>
  <c r="N47" i="1"/>
  <c r="N47" i="1" a="1"/>
  <c r="M47" i="1"/>
  <c r="L47" i="1"/>
  <c r="K47" i="1"/>
  <c r="J47" i="1"/>
  <c r="I47" i="1"/>
  <c r="H47" i="1"/>
  <c r="Q46" i="1"/>
  <c r="Q46" i="1" a="1"/>
  <c r="P46" i="1" a="1"/>
  <c r="P46" i="1" s="1"/>
  <c r="O46" i="1"/>
  <c r="N46" i="1" a="1"/>
  <c r="N46" i="1" s="1"/>
  <c r="M46" i="1"/>
  <c r="L46" i="1"/>
  <c r="K46" i="1"/>
  <c r="J46" i="1"/>
  <c r="I46" i="1"/>
  <c r="H46" i="1"/>
  <c r="Q45" i="1" a="1"/>
  <c r="Q45" i="1" s="1"/>
  <c r="P45" i="1" a="1"/>
  <c r="P45" i="1" s="1"/>
  <c r="O45" i="1"/>
  <c r="N45" i="1"/>
  <c r="N45" i="1" a="1"/>
  <c r="M45" i="1"/>
  <c r="L45" i="1"/>
  <c r="K45" i="1"/>
  <c r="J45" i="1"/>
  <c r="I45" i="1"/>
  <c r="H45" i="1"/>
  <c r="Q44" i="1" a="1"/>
  <c r="Q44" i="1" s="1"/>
  <c r="P44" i="1"/>
  <c r="P44" i="1" a="1"/>
  <c r="O44" i="1"/>
  <c r="N44" i="1" a="1"/>
  <c r="N44" i="1" s="1"/>
  <c r="M44" i="1"/>
  <c r="L44" i="1"/>
  <c r="K44" i="1"/>
  <c r="J44" i="1"/>
  <c r="I44" i="1"/>
  <c r="H44" i="1"/>
  <c r="Q43" i="1" a="1"/>
  <c r="Q43" i="1" s="1"/>
  <c r="P43" i="1" a="1"/>
  <c r="P43" i="1" s="1"/>
  <c r="O43" i="1"/>
  <c r="N43" i="1" a="1"/>
  <c r="N43" i="1" s="1"/>
  <c r="M43" i="1"/>
  <c r="L43" i="1"/>
  <c r="K43" i="1"/>
  <c r="J43" i="1"/>
  <c r="I43" i="1"/>
  <c r="H43" i="1"/>
  <c r="Q42" i="1"/>
  <c r="Q42" i="1" a="1"/>
  <c r="P42" i="1"/>
  <c r="P42" i="1" a="1"/>
  <c r="O42" i="1"/>
  <c r="N42" i="1" a="1"/>
  <c r="N42" i="1" s="1"/>
  <c r="M42" i="1"/>
  <c r="L42" i="1"/>
  <c r="K42" i="1"/>
  <c r="J42" i="1"/>
  <c r="I42" i="1"/>
  <c r="H42" i="1"/>
  <c r="Q41" i="1" a="1"/>
  <c r="Q41" i="1" s="1"/>
  <c r="P41" i="1" a="1"/>
  <c r="P41" i="1" s="1"/>
  <c r="O41" i="1"/>
  <c r="N41" i="1" a="1"/>
  <c r="N41" i="1" s="1"/>
  <c r="M41" i="1"/>
  <c r="L41" i="1"/>
  <c r="K41" i="1"/>
  <c r="J41" i="1"/>
  <c r="I41" i="1"/>
  <c r="H41" i="1"/>
  <c r="Q40" i="1"/>
  <c r="Q40" i="1" a="1"/>
  <c r="P40" i="1" a="1"/>
  <c r="P40" i="1" s="1"/>
  <c r="O40" i="1"/>
  <c r="N40" i="1" a="1"/>
  <c r="N40" i="1" s="1"/>
  <c r="M40" i="1"/>
  <c r="L40" i="1"/>
  <c r="K40" i="1"/>
  <c r="J40" i="1"/>
  <c r="I40" i="1"/>
  <c r="H40" i="1"/>
  <c r="Q39" i="1" a="1"/>
  <c r="Q39" i="1" s="1"/>
  <c r="P39" i="1" a="1"/>
  <c r="P39" i="1" s="1"/>
  <c r="O39" i="1"/>
  <c r="N39" i="1"/>
  <c r="N39" i="1" a="1"/>
  <c r="M39" i="1"/>
  <c r="L39" i="1"/>
  <c r="K39" i="1"/>
  <c r="J39" i="1"/>
  <c r="I39" i="1"/>
  <c r="H39" i="1"/>
  <c r="Q38" i="1" a="1"/>
  <c r="Q38" i="1" s="1"/>
  <c r="P38" i="1" a="1"/>
  <c r="P38" i="1" s="1"/>
  <c r="O38" i="1"/>
  <c r="N38" i="1" a="1"/>
  <c r="N38" i="1" s="1"/>
  <c r="M38" i="1"/>
  <c r="L38" i="1"/>
  <c r="K38" i="1"/>
  <c r="J38" i="1"/>
  <c r="I38" i="1"/>
  <c r="H38" i="1"/>
  <c r="Q37" i="1" a="1"/>
  <c r="Q37" i="1" s="1"/>
  <c r="P37" i="1" a="1"/>
  <c r="P37" i="1" s="1"/>
  <c r="O37" i="1"/>
  <c r="N37" i="1" a="1"/>
  <c r="N37" i="1" s="1"/>
  <c r="M37" i="1"/>
  <c r="L37" i="1"/>
  <c r="K37" i="1"/>
  <c r="J37" i="1"/>
  <c r="I37" i="1"/>
  <c r="H37" i="1"/>
  <c r="Q36" i="1" a="1"/>
  <c r="Q36" i="1" s="1"/>
  <c r="P36" i="1"/>
  <c r="P36" i="1" a="1"/>
  <c r="O36" i="1"/>
  <c r="N36" i="1" a="1"/>
  <c r="N36" i="1" s="1"/>
  <c r="M36" i="1"/>
  <c r="L36" i="1"/>
  <c r="K36" i="1"/>
  <c r="J36" i="1"/>
  <c r="I36" i="1"/>
  <c r="H36" i="1"/>
  <c r="Q35" i="1" a="1"/>
  <c r="Q35" i="1" s="1"/>
  <c r="P35" i="1" a="1"/>
  <c r="P35" i="1" s="1"/>
  <c r="O35" i="1"/>
  <c r="N35" i="1"/>
  <c r="N35" i="1" a="1"/>
  <c r="M35" i="1"/>
  <c r="L35" i="1"/>
  <c r="K35" i="1"/>
  <c r="J35" i="1"/>
  <c r="I35" i="1"/>
  <c r="H35" i="1"/>
  <c r="Q34" i="1"/>
  <c r="Q34" i="1" a="1"/>
  <c r="P34" i="1" a="1"/>
  <c r="P34" i="1" s="1"/>
  <c r="O34" i="1"/>
  <c r="N34" i="1" a="1"/>
  <c r="N34" i="1" s="1"/>
  <c r="M34" i="1"/>
  <c r="L34" i="1"/>
  <c r="K34" i="1"/>
  <c r="J34" i="1"/>
  <c r="I34" i="1"/>
  <c r="H34" i="1"/>
  <c r="Q33" i="1" a="1"/>
  <c r="Q33" i="1" s="1"/>
  <c r="P33" i="1" a="1"/>
  <c r="P33" i="1" s="1"/>
  <c r="O33" i="1"/>
  <c r="N33" i="1"/>
  <c r="N33" i="1" a="1"/>
  <c r="M33" i="1"/>
  <c r="L33" i="1"/>
  <c r="K33" i="1"/>
  <c r="J33" i="1"/>
  <c r="I33" i="1"/>
  <c r="H33" i="1"/>
  <c r="Q32" i="1" a="1"/>
  <c r="Q32" i="1" s="1"/>
  <c r="P32" i="1"/>
  <c r="P32" i="1" a="1"/>
  <c r="O32" i="1"/>
  <c r="N32" i="1" a="1"/>
  <c r="N32" i="1" s="1"/>
  <c r="M32" i="1"/>
  <c r="L32" i="1"/>
  <c r="K32" i="1"/>
  <c r="J32" i="1"/>
  <c r="I32" i="1"/>
  <c r="H32" i="1"/>
  <c r="Q31" i="1" a="1"/>
  <c r="Q31" i="1" s="1"/>
  <c r="P31" i="1" a="1"/>
  <c r="P31" i="1" s="1"/>
  <c r="O31" i="1"/>
  <c r="N31" i="1" a="1"/>
  <c r="N31" i="1" s="1"/>
  <c r="M31" i="1"/>
  <c r="L31" i="1"/>
  <c r="K31" i="1"/>
  <c r="J31" i="1"/>
  <c r="I31" i="1"/>
  <c r="H31" i="1"/>
  <c r="Q30" i="1"/>
  <c r="Q30" i="1" a="1"/>
  <c r="P30" i="1"/>
  <c r="P30" i="1" a="1"/>
  <c r="O30" i="1"/>
  <c r="N30" i="1" a="1"/>
  <c r="N30" i="1" s="1"/>
  <c r="M30" i="1"/>
  <c r="L30" i="1"/>
  <c r="K30" i="1"/>
  <c r="J30" i="1"/>
  <c r="I30" i="1"/>
  <c r="H30" i="1"/>
  <c r="Q29" i="1" a="1"/>
  <c r="Q29" i="1" s="1"/>
  <c r="P29" i="1" a="1"/>
  <c r="P29" i="1" s="1"/>
  <c r="O29" i="1"/>
  <c r="N29" i="1" a="1"/>
  <c r="N29" i="1" s="1"/>
  <c r="M29" i="1"/>
  <c r="L29" i="1"/>
  <c r="K29" i="1"/>
  <c r="J29" i="1"/>
  <c r="I29" i="1"/>
  <c r="H29" i="1"/>
  <c r="Q28" i="1"/>
  <c r="Q28" i="1" a="1"/>
  <c r="P28" i="1" a="1"/>
  <c r="P28" i="1" s="1"/>
  <c r="O28" i="1"/>
  <c r="N28" i="1" a="1"/>
  <c r="N28" i="1" s="1"/>
  <c r="M28" i="1"/>
  <c r="L28" i="1"/>
  <c r="K28" i="1"/>
  <c r="J28" i="1"/>
  <c r="I28" i="1"/>
  <c r="H28" i="1"/>
  <c r="Q27" i="1" a="1"/>
  <c r="Q27" i="1" s="1"/>
  <c r="P27" i="1" a="1"/>
  <c r="P27" i="1" s="1"/>
  <c r="O27" i="1"/>
  <c r="N27" i="1"/>
  <c r="N27" i="1" a="1"/>
  <c r="M27" i="1"/>
  <c r="L27" i="1"/>
  <c r="K27" i="1"/>
  <c r="J27" i="1"/>
  <c r="I27" i="1"/>
  <c r="H27" i="1"/>
  <c r="Q26" i="1" a="1"/>
  <c r="Q26" i="1" s="1"/>
  <c r="P26" i="1" a="1"/>
  <c r="P26" i="1" s="1"/>
  <c r="O26" i="1"/>
  <c r="N26" i="1" a="1"/>
  <c r="N26" i="1" s="1"/>
  <c r="M26" i="1"/>
  <c r="L26" i="1"/>
  <c r="K26" i="1"/>
  <c r="J26" i="1"/>
  <c r="I26" i="1"/>
  <c r="H26" i="1"/>
  <c r="Q25" i="1" a="1"/>
  <c r="Q25" i="1" s="1"/>
  <c r="P25" i="1" a="1"/>
  <c r="P25" i="1" s="1"/>
  <c r="O25" i="1"/>
  <c r="N25" i="1" a="1"/>
  <c r="N25" i="1" s="1"/>
  <c r="M25" i="1"/>
  <c r="L25" i="1"/>
  <c r="K25" i="1"/>
  <c r="J25" i="1"/>
  <c r="I25" i="1"/>
  <c r="H25" i="1"/>
  <c r="Q24" i="1" a="1"/>
  <c r="Q24" i="1" s="1"/>
  <c r="P24" i="1"/>
  <c r="P24" i="1" a="1"/>
  <c r="O24" i="1"/>
  <c r="N24" i="1" a="1"/>
  <c r="N24" i="1" s="1"/>
  <c r="M24" i="1"/>
  <c r="L24" i="1"/>
  <c r="K24" i="1"/>
  <c r="J24" i="1"/>
  <c r="I24" i="1"/>
  <c r="H24" i="1"/>
  <c r="Q23" i="1" a="1"/>
  <c r="Q23" i="1" s="1"/>
  <c r="P23" i="1" a="1"/>
  <c r="P23" i="1" s="1"/>
  <c r="O23" i="1"/>
  <c r="N23" i="1"/>
  <c r="N23" i="1" a="1"/>
  <c r="M23" i="1"/>
  <c r="L23" i="1"/>
  <c r="K23" i="1"/>
  <c r="J23" i="1"/>
  <c r="I23" i="1"/>
  <c r="H23" i="1"/>
  <c r="Q22" i="1"/>
  <c r="Q22" i="1" a="1"/>
  <c r="P22" i="1" a="1"/>
  <c r="P22" i="1" s="1"/>
  <c r="O22" i="1"/>
  <c r="N22" i="1" a="1"/>
  <c r="N22" i="1" s="1"/>
  <c r="M22" i="1"/>
  <c r="L22" i="1"/>
  <c r="K22" i="1"/>
  <c r="J22" i="1"/>
  <c r="I22" i="1"/>
  <c r="H22" i="1"/>
  <c r="Q21" i="1" a="1"/>
  <c r="Q21" i="1" s="1"/>
  <c r="P21" i="1" a="1"/>
  <c r="P21" i="1" s="1"/>
  <c r="O21" i="1"/>
  <c r="N21" i="1"/>
  <c r="N21" i="1" a="1"/>
  <c r="M21" i="1"/>
  <c r="L21" i="1"/>
  <c r="K21" i="1"/>
  <c r="J21" i="1"/>
  <c r="I21" i="1"/>
  <c r="H21" i="1"/>
  <c r="Q20" i="1" a="1"/>
  <c r="Q20" i="1" s="1"/>
  <c r="P20" i="1"/>
  <c r="P20" i="1" a="1"/>
  <c r="O20" i="1"/>
  <c r="N20" i="1" a="1"/>
  <c r="N20" i="1" s="1"/>
  <c r="M20" i="1"/>
  <c r="L20" i="1"/>
  <c r="K20" i="1"/>
  <c r="J20" i="1"/>
  <c r="I20" i="1"/>
  <c r="H20" i="1"/>
  <c r="Q19" i="1" a="1"/>
  <c r="Q19" i="1" s="1"/>
  <c r="P19" i="1" a="1"/>
  <c r="P19" i="1" s="1"/>
  <c r="O19" i="1"/>
  <c r="N19" i="1" a="1"/>
  <c r="N19" i="1" s="1"/>
  <c r="M19" i="1"/>
  <c r="L19" i="1"/>
  <c r="K19" i="1"/>
  <c r="J19" i="1"/>
  <c r="I19" i="1"/>
  <c r="H19" i="1"/>
  <c r="Q18" i="1"/>
  <c r="Q18" i="1" a="1"/>
  <c r="P18" i="1"/>
  <c r="P18" i="1" a="1"/>
  <c r="O18" i="1"/>
  <c r="N18" i="1" a="1"/>
  <c r="N18" i="1" s="1"/>
  <c r="M18" i="1"/>
  <c r="L18" i="1"/>
  <c r="K18" i="1"/>
  <c r="J18" i="1"/>
  <c r="I18" i="1"/>
  <c r="H18" i="1"/>
  <c r="Q17" i="1" a="1"/>
  <c r="Q17" i="1" s="1"/>
  <c r="P17" i="1" a="1"/>
  <c r="P17" i="1" s="1"/>
  <c r="O17" i="1"/>
  <c r="N17" i="1" a="1"/>
  <c r="N17" i="1" s="1"/>
  <c r="M17" i="1"/>
  <c r="L17" i="1"/>
  <c r="K17" i="1"/>
  <c r="J17" i="1"/>
  <c r="I17" i="1"/>
  <c r="H17" i="1"/>
  <c r="Q16" i="1"/>
  <c r="Q16" i="1" a="1"/>
  <c r="P16" i="1" a="1"/>
  <c r="P16" i="1" s="1"/>
  <c r="O16" i="1"/>
  <c r="N16" i="1" a="1"/>
  <c r="N16" i="1" s="1"/>
  <c r="M16" i="1"/>
  <c r="L16" i="1"/>
  <c r="K16" i="1"/>
  <c r="J16" i="1"/>
  <c r="I16" i="1"/>
  <c r="H16" i="1"/>
  <c r="Q15" i="1" a="1"/>
  <c r="Q15" i="1" s="1"/>
  <c r="P15" i="1" a="1"/>
  <c r="P15" i="1" s="1"/>
  <c r="O15" i="1"/>
  <c r="N15" i="1"/>
  <c r="N15" i="1" a="1"/>
  <c r="M15" i="1"/>
  <c r="L15" i="1"/>
  <c r="K15" i="1"/>
  <c r="J15" i="1"/>
  <c r="I15" i="1"/>
  <c r="H15" i="1"/>
  <c r="Q14" i="1" a="1"/>
  <c r="Q14" i="1" s="1"/>
  <c r="P14" i="1" a="1"/>
  <c r="P14" i="1" s="1"/>
  <c r="O14" i="1"/>
  <c r="N14" i="1" a="1"/>
  <c r="N14" i="1" s="1"/>
  <c r="M14" i="1"/>
  <c r="L14" i="1"/>
  <c r="K14" i="1"/>
  <c r="J14" i="1"/>
  <c r="I14" i="1"/>
  <c r="H14" i="1"/>
  <c r="Q13" i="1" a="1"/>
  <c r="Q13" i="1" s="1"/>
  <c r="P13" i="1" a="1"/>
  <c r="P13" i="1" s="1"/>
  <c r="O13" i="1"/>
  <c r="N13" i="1" a="1"/>
  <c r="N13" i="1" s="1"/>
  <c r="M13" i="1"/>
  <c r="L13" i="1"/>
  <c r="K13" i="1"/>
  <c r="J13" i="1"/>
  <c r="I13" i="1"/>
  <c r="H13" i="1"/>
  <c r="Q12" i="1" a="1"/>
  <c r="Q12" i="1" s="1"/>
  <c r="P12" i="1"/>
  <c r="P12" i="1" a="1"/>
  <c r="O12" i="1"/>
  <c r="N12" i="1" a="1"/>
  <c r="N12" i="1" s="1"/>
  <c r="M12" i="1"/>
  <c r="L12" i="1"/>
  <c r="K12" i="1"/>
  <c r="J12" i="1"/>
  <c r="I12" i="1"/>
  <c r="H12" i="1"/>
  <c r="Q11" i="1" a="1"/>
  <c r="Q11" i="1" s="1"/>
  <c r="P11" i="1" a="1"/>
  <c r="P11" i="1" s="1"/>
  <c r="O11" i="1"/>
  <c r="N11" i="1"/>
  <c r="N11" i="1" a="1"/>
  <c r="M11" i="1"/>
  <c r="L11" i="1"/>
  <c r="K11" i="1"/>
  <c r="J11" i="1"/>
  <c r="I11" i="1"/>
  <c r="H11" i="1"/>
  <c r="Q10" i="1"/>
  <c r="Q10" i="1" a="1"/>
  <c r="P10" i="1" a="1"/>
  <c r="P10" i="1" s="1"/>
  <c r="O10" i="1"/>
  <c r="N10" i="1" a="1"/>
  <c r="N10" i="1" s="1"/>
  <c r="M10" i="1"/>
  <c r="L10" i="1"/>
  <c r="K10" i="1"/>
  <c r="J10" i="1"/>
  <c r="I10" i="1"/>
  <c r="H10" i="1"/>
  <c r="Q9" i="1" a="1"/>
  <c r="Q9" i="1" s="1"/>
  <c r="P9" i="1" a="1"/>
  <c r="P9" i="1" s="1"/>
  <c r="O9" i="1"/>
  <c r="N9" i="1"/>
  <c r="N9" i="1" a="1"/>
  <c r="M9" i="1"/>
  <c r="L9" i="1"/>
  <c r="K9" i="1"/>
  <c r="J9" i="1"/>
  <c r="I9" i="1"/>
  <c r="H9" i="1"/>
  <c r="Q8" i="1" a="1"/>
  <c r="Q8" i="1" s="1"/>
  <c r="P8" i="1"/>
  <c r="P8" i="1" a="1"/>
  <c r="O8" i="1"/>
  <c r="N8" i="1" a="1"/>
  <c r="N8" i="1" s="1"/>
  <c r="M8" i="1"/>
  <c r="L8" i="1"/>
  <c r="K8" i="1"/>
  <c r="J8" i="1"/>
  <c r="I8" i="1"/>
  <c r="H8" i="1"/>
  <c r="Q7" i="1" a="1"/>
  <c r="Q7" i="1" s="1"/>
  <c r="P7" i="1" a="1"/>
  <c r="P7" i="1" s="1"/>
  <c r="O7" i="1"/>
  <c r="N7" i="1" a="1"/>
  <c r="N7" i="1" s="1"/>
  <c r="M7" i="1"/>
  <c r="L7" i="1"/>
  <c r="K7" i="1"/>
  <c r="J7" i="1"/>
  <c r="I7" i="1"/>
  <c r="H7" i="1"/>
  <c r="Q6" i="1"/>
  <c r="Q6" i="1" a="1"/>
  <c r="P6" i="1"/>
  <c r="P6" i="1" a="1"/>
  <c r="O6" i="1"/>
  <c r="N6" i="1" a="1"/>
  <c r="N6" i="1" s="1"/>
  <c r="M6" i="1"/>
  <c r="L6" i="1"/>
  <c r="K6" i="1"/>
  <c r="J6" i="1"/>
  <c r="I6" i="1"/>
  <c r="H6" i="1"/>
  <c r="Q5" i="1" a="1"/>
  <c r="Q5" i="1" s="1"/>
  <c r="P5" i="1" a="1"/>
  <c r="P5" i="1" s="1"/>
  <c r="O5" i="1"/>
  <c r="N5" i="1" a="1"/>
  <c r="N5" i="1" s="1"/>
  <c r="M5" i="1"/>
  <c r="L5" i="1"/>
  <c r="K5" i="1"/>
  <c r="J5" i="1"/>
  <c r="I5" i="1"/>
  <c r="H5" i="1"/>
  <c r="Q4" i="1"/>
  <c r="Q4" i="1" a="1"/>
  <c r="P4" i="1" a="1"/>
  <c r="P4" i="1" s="1"/>
  <c r="O4" i="1"/>
  <c r="N4" i="1" a="1"/>
  <c r="N4" i="1" s="1"/>
  <c r="M4" i="1"/>
  <c r="L4" i="1"/>
  <c r="K4" i="1"/>
  <c r="J4" i="1"/>
  <c r="I4" i="1"/>
  <c r="H4" i="1"/>
  <c r="Q3" i="1" a="1"/>
  <c r="Q3" i="1" s="1"/>
  <c r="P3" i="1" a="1"/>
  <c r="P3" i="1" s="1"/>
  <c r="O3" i="1"/>
  <c r="N3" i="1"/>
  <c r="N3" i="1" a="1"/>
  <c r="M3" i="1"/>
  <c r="L3" i="1"/>
  <c r="K3" i="1"/>
  <c r="J3" i="1"/>
  <c r="I3" i="1"/>
  <c r="H3" i="1"/>
  <c r="Q2" i="1" a="1"/>
  <c r="Q2" i="1" s="1"/>
  <c r="P2" i="1" a="1"/>
  <c r="P2" i="1" s="1"/>
  <c r="O2" i="1"/>
  <c r="N2" i="1" a="1"/>
  <c r="N2" i="1" s="1"/>
  <c r="M2" i="1"/>
  <c r="L2" i="1"/>
  <c r="K2" i="1"/>
  <c r="J2" i="1"/>
  <c r="I2" i="1"/>
  <c r="H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<sst xmlns="http://schemas.openxmlformats.org/spreadsheetml/2006/main" count="17" uniqueCount="17">
  <si>
    <t>low</t>
  </si>
  <si>
    <t>close</t>
  </si>
  <si>
    <t>volume</t>
  </si>
  <si>
    <t>quote_volume</t>
  </si>
  <si>
    <t>count</t>
  </si>
  <si>
    <t>taker_buy_volume</t>
  </si>
  <si>
    <t>taker_buy_quote_volume</t>
  </si>
  <si>
    <t>CandleRange</t>
  </si>
  <si>
    <t>CandleRangePercentage</t>
  </si>
  <si>
    <t>CandleBody</t>
  </si>
  <si>
    <t>CandleBodyPercentage</t>
  </si>
  <si>
    <t>CandleClosePosition</t>
  </si>
  <si>
    <t>CandleTakerBuyShare</t>
  </si>
  <si>
    <t>CandleDirection</t>
  </si>
  <si>
    <t>BodyToRangeRatio</t>
  </si>
  <si>
    <t>CandleType</t>
  </si>
  <si>
    <t>MarketSession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</si>
</sst>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1" xfId="0" applyFont="1" applyFill="1" applyBorder="1"/>
    <xf numFmtId="164" fontId="2" fillId="2" borderId="1" xfId="1" applyNumberFormat="1" applyFont="1" applyFill="1" applyBorder="1"/>
    <xf numFmtId="9" fontId="2" fillId="2" borderId="1" xfId="1" applyFont="1" applyFill="1" applyBorder="1"/>
    <xf numFmtId="0" fontId="2" fillId="2" borderId="2" xfId="0" applyFont="1" applyFill="1" applyBorder="1"/>
    <xf numFmtId="0" fontId="0" fillId="3" borderId="1" xfId="0" applyFill="1" applyBorder="1"/>
    <xf numFmtId="164" fontId="0" fillId="3" borderId="1" xfId="1" applyNumberFormat="1" applyFont="1" applyFill="1" applyBorder="1"/>
    <xf numFmtId="2" fontId="0" fillId="3" borderId="1" xfId="0" applyNumberFormat="1" applyFill="1" applyBorder="1"/>
    <xf numFmtId="9" fontId="0" fillId="3" borderId="1" xfId="1" applyFont="1" applyFill="1" applyBorder="1"/>
    <xf numFmtId="9" fontId="0" fillId="0" borderId="0" xfId="1" applyFont="1"/>
    <xf numFmtId="0" fontId="0" fillId="0" borderId="1" xfId="0" applyBorder="1"/>
    <xf numFmtId="164" fontId="0" fillId="0" borderId="1" xfId="1" applyNumberFormat="1" applyFont="1" applyBorder="1"/>
    <xf numFmtId="2" fontId="0" fillId="0" borderId="1" xfId="0" applyNumberFormat="1" applyBorder="1"/>
    <xf numFmtId="9" fontId="0" fillId="0" borderId="1" xfId="1" applyFont="1" applyBorder="1"/>
  </cellXfs>
  <cellStyles count="2">
    <cellStyle name="Normalny" xfId="0" builtinId="0"/>
    <cellStyle name="Procentowy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afal\Desktop\BTC%20analysis\BTC_Intraday_Market_Behavior_Analyzer.xlsm" TargetMode="External"/><Relationship Id="rId1" Type="http://schemas.openxmlformats.org/officeDocument/2006/relationships/externalLinkPath" Target="BTC%20analysis/BTC_Intraday_Market_Behavior_Analyzer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tcData"/>
      <sheetName val="SessionData"/>
      <sheetName val="PivotSessions"/>
      <sheetName val="DailyData"/>
      <sheetName val="DailyAverages"/>
      <sheetName val="DailyPivot"/>
      <sheetName val="Dashboard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0"/>
  <sheetViews>
    <sheetView tabSelected="1" workbookViewId="0">
      <selection activeCell="N15" sqref="N15"/>
    </sheetView>
  </sheetViews>
  <sheetFormatPr defaultRowHeight="14.4" x14ac:dyDescent="0.3"/>
  <cols>
    <col min="1" max="2" width="8" bestFit="1" customWidth="1"/>
    <col min="3" max="3" width="7.33203125" bestFit="1" customWidth="1"/>
    <col min="4" max="4" width="13.44140625" bestFit="1" customWidth="1"/>
    <col min="5" max="5" width="5.88671875" bestFit="1" customWidth="1"/>
    <col min="6" max="6" width="17" bestFit="1" customWidth="1"/>
    <col min="7" max="7" width="23.21875" bestFit="1" customWidth="1"/>
    <col min="8" max="8" width="12" bestFit="1" customWidth="1"/>
    <col min="9" max="9" width="21.77734375" bestFit="1" customWidth="1"/>
    <col min="10" max="10" width="11.109375" bestFit="1" customWidth="1"/>
    <col min="11" max="11" width="20.77734375" bestFit="1" customWidth="1"/>
    <col min="12" max="12" width="18.21875" bestFit="1" customWidth="1"/>
    <col min="13" max="13" width="19.6640625" bestFit="1" customWidth="1"/>
    <col min="14" max="14" width="14.44140625" bestFit="1" customWidth="1"/>
    <col min="15" max="15" width="17.21875" bestFit="1" customWidth="1"/>
    <col min="16" max="16" width="10.88671875" bestFit="1" customWidth="1"/>
    <col min="17" max="17" width="13.44140625" bestFit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2" t="s">
        <v>10</v>
      </c>
      <c r="L1" s="3" t="s">
        <v>11</v>
      </c>
      <c r="M1" s="3" t="s">
        <v>12</v>
      </c>
      <c r="N1" s="1" t="s">
        <v>13</v>
      </c>
      <c r="O1" s="3" t="s">
        <v>14</v>
      </c>
      <c r="P1" s="1" t="s">
        <v>15</v>
      </c>
      <c r="Q1" s="4" t="s">
        <v>16</v>
      </c>
    </row>
    <row r="2" spans="1:17" x14ac:dyDescent="0.3">
      <c r="A2" s="5">
        <v>93390.2</v>
      </c>
      <c r="B2" s="5">
        <v>93504.8</v>
      </c>
      <c r="C2" s="5">
        <v>46508</v>
      </c>
      <c r="D2" s="5">
        <v>49.746226630000002</v>
      </c>
      <c r="E2" s="5">
        <v>852</v>
      </c>
      <c r="F2" s="5">
        <v>25908</v>
      </c>
      <c r="G2" s="5">
        <v>27.716795019999999</v>
      </c>
      <c r="H2" s="5">
        <f>[1]!BTC_data[[#This Row],[high]]-[1]!BTC_data[[#This Row],[low]]</f>
        <v>159.19999999999709</v>
      </c>
      <c r="I2" s="6">
        <f>[1]!BTC_data[[#This Row],[CandleRange]]/[1]!BTC_data[[#This Row],[open]]</f>
        <v>1.7040880987856991E-3</v>
      </c>
      <c r="J2" s="7">
        <f>ABS([1]!BTC_data[[#This Row],[open]]-[1]!BTC_data[[#This Row],[close]])</f>
        <v>82.400000000008731</v>
      </c>
      <c r="K2" s="6">
        <f>[1]!BTC_data[[#This Row],[CandleBody]]/[1]!BTC_data[[#This Row],[open]]</f>
        <v>8.8201544811532067E-4</v>
      </c>
      <c r="L2" s="8">
        <f>IF([1]!BTC_data[[#This Row],[CandleRange]]&gt;0,([1]!BTC_data[[#This Row],[close]]-[1]!BTC_data[[#This Row],[low]])/[1]!BTC_data[[#This Row],[CandleRange]],"")</f>
        <v>0.7198492462312055</v>
      </c>
      <c r="M2" s="8">
        <f>IF([1]!BTC_data[[#This Row],[quote_volume]]&gt;0,[1]!BTC_data[[#This Row],[taker_buy_quote_volume]]/[1]!BTC_data[[#This Row],[quote_volume]],"")</f>
        <v>0.55716376693554248</v>
      </c>
      <c r="N2" t="str" cm="1">
        <f t="array" ref="N2">_xlfn.IFS([1]!BTC_data[[#This Row],[open]]-[1]!BTC_data[[#This Row],[close]]&gt;0,"Bearish",[1]!BTC_data[[#This Row],[open]]-[1]!BTC_data[[#This Row],[close]]&lt;0,"Bullish",TRUE,"Neutral")</f>
        <v>Bullish</v>
      </c>
      <c r="O2" s="8">
        <f>IF([1]!BTC_data[[#This Row],[CandleRange]]&gt;0,[1]!BTC_data[[#This Row],[CandleBody]]/[1]!BTC_data[[#This Row],[CandleRange]],"")</f>
        <v>0.51758793969855676</v>
      </c>
      <c r="P2" s="9" t="str" cm="1">
        <f t="array" ref="P2">_xlfn.IFS([1]!BTC_data[[#This Row],[BodyToRangeRatio]]&gt;=0.7,"Directional",[1]!BTC_data[[#This Row],[BodyToRangeRatio]]&lt;=0.3,"Indecision",TRUE,"Mixed")</f>
        <v>Mixed</v>
      </c>
      <c r="Q2" s="9" t="str" cm="1">
        <f t="array" ref="Q2">_xlfn.IFS([1]!BTC_data[[#This Row],[HourUTC]]&lt;8,"Asia",[1]!BTC_data[[#This Row],[HourUTC]]&lt;13,"London",[1]!BTC_data[[#This Row],[HourUTC]]&lt;21,"New York",TRUE,"AfterHours")</f>
        <v>Asia</v>
      </c>
    </row>
    <row r="3" spans="1:17" x14ac:dyDescent="0.3">
      <c r="A3" s="10">
        <v>93435.1</v>
      </c>
      <c r="B3" s="10">
        <v>93438.8</v>
      </c>
      <c r="C3" s="10">
        <v>30030</v>
      </c>
      <c r="D3" s="10">
        <v>32.1327426</v>
      </c>
      <c r="E3" s="10">
        <v>534</v>
      </c>
      <c r="F3" s="10">
        <v>21395</v>
      </c>
      <c r="G3" s="10">
        <v>22.893009660000001</v>
      </c>
      <c r="H3" s="10">
        <f>[1]!BTC_data[[#This Row],[high]]-[1]!BTC_data[[#This Row],[low]]</f>
        <v>83.599999999991269</v>
      </c>
      <c r="I3" s="11">
        <f>[1]!BTC_data[[#This Row],[CandleRange]]/[1]!BTC_data[[#This Row],[open]]</f>
        <v>8.941176470587301E-4</v>
      </c>
      <c r="J3" s="12">
        <f>ABS([1]!BTC_data[[#This Row],[open]]-[1]!BTC_data[[#This Row],[close]])</f>
        <v>61.19999999999709</v>
      </c>
      <c r="K3" s="11">
        <f>[1]!BTC_data[[#This Row],[CandleBody]]/[1]!BTC_data[[#This Row],[open]]</f>
        <v>6.5454545454542341E-4</v>
      </c>
      <c r="L3" s="13">
        <f>IF([1]!BTC_data[[#This Row],[CandleRange]]&gt;0,([1]!BTC_data[[#This Row],[close]]-[1]!BTC_data[[#This Row],[low]])/[1]!BTC_data[[#This Row],[CandleRange]],"")</f>
        <v>4.4258373205711438E-2</v>
      </c>
      <c r="M3" s="13">
        <f>IF([1]!BTC_data[[#This Row],[quote_volume]]&gt;0,[1]!BTC_data[[#This Row],[taker_buy_quote_volume]]/[1]!BTC_data[[#This Row],[quote_volume]],"")</f>
        <v>0.71245115753051225</v>
      </c>
      <c r="N3" t="str" cm="1">
        <f t="array" ref="N3">_xlfn.IFS([1]!BTC_data[[#This Row],[open]]-[1]!BTC_data[[#This Row],[close]]&gt;0,"Bearish",[1]!BTC_data[[#This Row],[open]]-[1]!BTC_data[[#This Row],[close]]&lt;0,"Bullish",TRUE,"Neutral")</f>
        <v>Bearish</v>
      </c>
      <c r="O3" s="13">
        <f>IF([1]!BTC_data[[#This Row],[CandleRange]]&gt;0,[1]!BTC_data[[#This Row],[CandleBody]]/[1]!BTC_data[[#This Row],[CandleRange]],"")</f>
        <v>0.73205741626798426</v>
      </c>
      <c r="P3" s="9" t="str" cm="1">
        <f t="array" ref="P3">_xlfn.IFS([1]!BTC_data[[#This Row],[BodyToRangeRatio]]&gt;=0.7,"Directional",[1]!BTC_data[[#This Row],[BodyToRangeRatio]]&lt;=0.3,"Indecision",TRUE,"Mixed")</f>
        <v>Directional</v>
      </c>
      <c r="Q3" s="9" t="str" cm="1">
        <f t="array" ref="Q3">_xlfn.IFS([1]!BTC_data[[#This Row],[HourUTC]]&lt;8,"Asia",[1]!BTC_data[[#This Row],[HourUTC]]&lt;13,"London",[1]!BTC_data[[#This Row],[HourUTC]]&lt;21,"New York",TRUE,"AfterHours")</f>
        <v>Asia</v>
      </c>
    </row>
    <row r="4" spans="1:17" x14ac:dyDescent="0.3">
      <c r="A4" s="5">
        <v>93319.8</v>
      </c>
      <c r="B4" s="5">
        <v>93501.8</v>
      </c>
      <c r="C4" s="5">
        <v>45370</v>
      </c>
      <c r="D4" s="5">
        <v>48.57731398</v>
      </c>
      <c r="E4" s="5">
        <v>920</v>
      </c>
      <c r="F4" s="5">
        <v>32556</v>
      </c>
      <c r="G4" s="5">
        <v>34.858696799999997</v>
      </c>
      <c r="H4" s="5">
        <f>[1]!BTC_data[[#This Row],[high]]-[1]!BTC_data[[#This Row],[low]]</f>
        <v>182</v>
      </c>
      <c r="I4" s="6">
        <f>[1]!BTC_data[[#This Row],[CandleRange]]/[1]!BTC_data[[#This Row],[open]]</f>
        <v>1.9477989871445266E-3</v>
      </c>
      <c r="J4" s="7">
        <f>ABS([1]!BTC_data[[#This Row],[open]]-[1]!BTC_data[[#This Row],[close]])</f>
        <v>63</v>
      </c>
      <c r="K4" s="6">
        <f>[1]!BTC_data[[#This Row],[CandleBody]]/[1]!BTC_data[[#This Row],[open]]</f>
        <v>6.7423811093464381E-4</v>
      </c>
      <c r="L4" s="8">
        <f>IF([1]!BTC_data[[#This Row],[CandleRange]]&gt;0,([1]!BTC_data[[#This Row],[close]]-[1]!BTC_data[[#This Row],[low]])/[1]!BTC_data[[#This Row],[CandleRange]],"")</f>
        <v>1</v>
      </c>
      <c r="M4" s="8">
        <f>IF([1]!BTC_data[[#This Row],[quote_volume]]&gt;0,[1]!BTC_data[[#This Row],[taker_buy_quote_volume]]/[1]!BTC_data[[#This Row],[quote_volume]],"")</f>
        <v>0.71759210100319337</v>
      </c>
      <c r="N4" t="str" cm="1">
        <f t="array" ref="N4">_xlfn.IFS([1]!BTC_data[[#This Row],[open]]-[1]!BTC_data[[#This Row],[close]]&gt;0,"Bearish",[1]!BTC_data[[#This Row],[open]]-[1]!BTC_data[[#This Row],[close]]&lt;0,"Bullish",TRUE,"Neutral")</f>
        <v>Bullish</v>
      </c>
      <c r="O4" s="8">
        <f>IF([1]!BTC_data[[#This Row],[CandleRange]]&gt;0,[1]!BTC_data[[#This Row],[CandleBody]]/[1]!BTC_data[[#This Row],[CandleRange]],"")</f>
        <v>0.34615384615384615</v>
      </c>
      <c r="P4" s="9" t="str" cm="1">
        <f t="array" ref="P4">_xlfn.IFS([1]!BTC_data[[#This Row],[BodyToRangeRatio]]&gt;=0.7,"Directional",[1]!BTC_data[[#This Row],[BodyToRangeRatio]]&lt;=0.3,"Indecision",TRUE,"Mixed")</f>
        <v>Mixed</v>
      </c>
      <c r="Q4" s="9" t="str" cm="1">
        <f t="array" ref="Q4">_xlfn.IFS([1]!BTC_data[[#This Row],[HourUTC]]&lt;8,"Asia",[1]!BTC_data[[#This Row],[HourUTC]]&lt;13,"London",[1]!BTC_data[[#This Row],[HourUTC]]&lt;21,"New York",TRUE,"AfterHours")</f>
        <v>Asia</v>
      </c>
    </row>
    <row r="5" spans="1:17" x14ac:dyDescent="0.3">
      <c r="A5" s="10">
        <v>93462.5</v>
      </c>
      <c r="B5" s="10">
        <v>93647.6</v>
      </c>
      <c r="C5" s="10">
        <v>87955</v>
      </c>
      <c r="D5" s="10">
        <v>93.950835190000006</v>
      </c>
      <c r="E5" s="10">
        <v>1036</v>
      </c>
      <c r="F5" s="10">
        <v>43885</v>
      </c>
      <c r="G5" s="10">
        <v>46.873632430000001</v>
      </c>
      <c r="H5" s="10">
        <f>[1]!BTC_data[[#This Row],[high]]-[1]!BTC_data[[#This Row],[low]]</f>
        <v>234.89999999999418</v>
      </c>
      <c r="I5" s="11">
        <f>[1]!BTC_data[[#This Row],[CandleRange]]/[1]!BTC_data[[#This Row],[open]]</f>
        <v>2.5122511010482597E-3</v>
      </c>
      <c r="J5" s="12">
        <f>ABS([1]!BTC_data[[#This Row],[open]]-[1]!BTC_data[[#This Row],[close]])</f>
        <v>145.80000000000291</v>
      </c>
      <c r="K5" s="11">
        <f>[1]!BTC_data[[#This Row],[CandleBody]]/[1]!BTC_data[[#This Row],[open]]</f>
        <v>1.5593282696162311E-3</v>
      </c>
      <c r="L5" s="13">
        <f>IF([1]!BTC_data[[#This Row],[CandleRange]]&gt;0,([1]!BTC_data[[#This Row],[close]]-[1]!BTC_data[[#This Row],[low]])/[1]!BTC_data[[#This Row],[CandleRange]],"")</f>
        <v>0.78799489144321166</v>
      </c>
      <c r="M5" s="13">
        <f>IF([1]!BTC_data[[#This Row],[quote_volume]]&gt;0,[1]!BTC_data[[#This Row],[taker_buy_quote_volume]]/[1]!BTC_data[[#This Row],[quote_volume]],"")</f>
        <v>0.49891661245167052</v>
      </c>
      <c r="N5" t="str" cm="1">
        <f t="array" ref="N5">_xlfn.IFS([1]!BTC_data[[#This Row],[open]]-[1]!BTC_data[[#This Row],[close]]&gt;0,"Bearish",[1]!BTC_data[[#This Row],[open]]-[1]!BTC_data[[#This Row],[close]]&lt;0,"Bullish",TRUE,"Neutral")</f>
        <v>Bullish</v>
      </c>
      <c r="O5" s="13">
        <f>IF([1]!BTC_data[[#This Row],[CandleRange]]&gt;0,[1]!BTC_data[[#This Row],[CandleBody]]/[1]!BTC_data[[#This Row],[CandleRange]],"")</f>
        <v>0.62068965517244157</v>
      </c>
      <c r="P5" s="9" t="str" cm="1">
        <f t="array" ref="P5">_xlfn.IFS([1]!BTC_data[[#This Row],[BodyToRangeRatio]]&gt;=0.7,"Directional",[1]!BTC_data[[#This Row],[BodyToRangeRatio]]&lt;=0.3,"Indecision",TRUE,"Mixed")</f>
        <v>Mixed</v>
      </c>
      <c r="Q5" s="9" t="str" cm="1">
        <f t="array" ref="Q5">_xlfn.IFS([1]!BTC_data[[#This Row],[HourUTC]]&lt;8,"Asia",[1]!BTC_data[[#This Row],[HourUTC]]&lt;13,"London",[1]!BTC_data[[#This Row],[HourUTC]]&lt;21,"New York",TRUE,"AfterHours")</f>
        <v>Asia</v>
      </c>
    </row>
    <row r="6" spans="1:17" x14ac:dyDescent="0.3">
      <c r="A6" s="5">
        <v>93557.7</v>
      </c>
      <c r="B6" s="5">
        <v>93588</v>
      </c>
      <c r="C6" s="5">
        <v>84776</v>
      </c>
      <c r="D6" s="5">
        <v>90.518335840000006</v>
      </c>
      <c r="E6" s="5">
        <v>905</v>
      </c>
      <c r="F6" s="5">
        <v>51180</v>
      </c>
      <c r="G6" s="5">
        <v>54.653637930000002</v>
      </c>
      <c r="H6" s="5">
        <f>[1]!BTC_data[[#This Row],[high]]-[1]!BTC_data[[#This Row],[low]]</f>
        <v>194.19999999999709</v>
      </c>
      <c r="I6" s="6">
        <f>[1]!BTC_data[[#This Row],[CandleRange]]/[1]!BTC_data[[#This Row],[open]]</f>
        <v>2.0737317347160745E-3</v>
      </c>
      <c r="J6" s="7">
        <f>ABS([1]!BTC_data[[#This Row],[open]]-[1]!BTC_data[[#This Row],[close]])</f>
        <v>59.600000000005821</v>
      </c>
      <c r="K6" s="6">
        <f>[1]!BTC_data[[#This Row],[CandleBody]]/[1]!BTC_data[[#This Row],[open]]</f>
        <v>6.3642848295104003E-4</v>
      </c>
      <c r="L6" s="8">
        <f>IF([1]!BTC_data[[#This Row],[CandleRange]]&gt;0,([1]!BTC_data[[#This Row],[close]]-[1]!BTC_data[[#This Row],[low]])/[1]!BTC_data[[#This Row],[CandleRange]],"")</f>
        <v>0.15602471678683505</v>
      </c>
      <c r="M6" s="8">
        <f>IF([1]!BTC_data[[#This Row],[quote_volume]]&gt;0,[1]!BTC_data[[#This Row],[taker_buy_quote_volume]]/[1]!BTC_data[[#This Row],[quote_volume]],"")</f>
        <v>0.60378527093787537</v>
      </c>
      <c r="N6" t="str" cm="1">
        <f t="array" ref="N6">_xlfn.IFS([1]!BTC_data[[#This Row],[open]]-[1]!BTC_data[[#This Row],[close]]&gt;0,"Bearish",[1]!BTC_data[[#This Row],[open]]-[1]!BTC_data[[#This Row],[close]]&lt;0,"Bullish",TRUE,"Neutral")</f>
        <v>Bearish</v>
      </c>
      <c r="O6" s="8">
        <f>IF([1]!BTC_data[[#This Row],[CandleRange]]&gt;0,[1]!BTC_data[[#This Row],[CandleBody]]/[1]!BTC_data[[#This Row],[CandleRange]],"")</f>
        <v>0.30690010298664633</v>
      </c>
      <c r="P6" s="9" t="str" cm="1">
        <f t="array" ref="P6">_xlfn.IFS([1]!BTC_data[[#This Row],[BodyToRangeRatio]]&gt;=0.7,"Directional",[1]!BTC_data[[#This Row],[BodyToRangeRatio]]&lt;=0.3,"Indecision",TRUE,"Mixed")</f>
        <v>Mixed</v>
      </c>
      <c r="Q6" s="9" t="str" cm="1">
        <f t="array" ref="Q6">_xlfn.IFS([1]!BTC_data[[#This Row],[HourUTC]]&lt;8,"Asia",[1]!BTC_data[[#This Row],[HourUTC]]&lt;13,"London",[1]!BTC_data[[#This Row],[HourUTC]]&lt;21,"New York",TRUE,"AfterHours")</f>
        <v>Asia</v>
      </c>
    </row>
    <row r="7" spans="1:17" x14ac:dyDescent="0.3">
      <c r="A7" s="10">
        <v>93572.1</v>
      </c>
      <c r="B7" s="10">
        <v>93617.2</v>
      </c>
      <c r="C7" s="10">
        <v>19208</v>
      </c>
      <c r="D7" s="10">
        <v>20.524049399999999</v>
      </c>
      <c r="E7" s="10">
        <v>296</v>
      </c>
      <c r="F7" s="10">
        <v>16708</v>
      </c>
      <c r="G7" s="10">
        <v>17.852827229999999</v>
      </c>
      <c r="H7" s="10">
        <f>[1]!BTC_data[[#This Row],[high]]-[1]!BTC_data[[#This Row],[low]]</f>
        <v>45.099999999991269</v>
      </c>
      <c r="I7" s="11">
        <f>[1]!BTC_data[[#This Row],[CandleRange]]/[1]!BTC_data[[#This Row],[open]]</f>
        <v>4.8189887389519891E-4</v>
      </c>
      <c r="J7" s="12">
        <f>ABS([1]!BTC_data[[#This Row],[open]]-[1]!BTC_data[[#This Row],[close]])</f>
        <v>29.099999999991269</v>
      </c>
      <c r="K7" s="11">
        <f>[1]!BTC_data[[#This Row],[CandleBody]]/[1]!BTC_data[[#This Row],[open]]</f>
        <v>3.109369674134988E-4</v>
      </c>
      <c r="L7" s="13">
        <f>IF([1]!BTC_data[[#This Row],[CandleRange]]&gt;0,([1]!BTC_data[[#This Row],[close]]-[1]!BTC_data[[#This Row],[low]])/[1]!BTC_data[[#This Row],[CandleRange]],"")</f>
        <v>1</v>
      </c>
      <c r="M7" s="13">
        <f>IF([1]!BTC_data[[#This Row],[quote_volume]]&gt;0,[1]!BTC_data[[#This Row],[taker_buy_quote_volume]]/[1]!BTC_data[[#This Row],[quote_volume]],"")</f>
        <v>0.86984916485340358</v>
      </c>
      <c r="N7" t="str" cm="1">
        <f t="array" ref="N7">_xlfn.IFS([1]!BTC_data[[#This Row],[open]]-[1]!BTC_data[[#This Row],[close]]&gt;0,"Bearish",[1]!BTC_data[[#This Row],[open]]-[1]!BTC_data[[#This Row],[close]]&lt;0,"Bullish",TRUE,"Neutral")</f>
        <v>Bullish</v>
      </c>
      <c r="O7" s="13">
        <f>IF([1]!BTC_data[[#This Row],[CandleRange]]&gt;0,[1]!BTC_data[[#This Row],[CandleBody]]/[1]!BTC_data[[#This Row],[CandleRange]],"")</f>
        <v>0.64523281596445459</v>
      </c>
      <c r="P7" s="9" t="str" cm="1">
        <f t="array" ref="P7">_xlfn.IFS([1]!BTC_data[[#This Row],[BodyToRangeRatio]]&gt;=0.7,"Directional",[1]!BTC_data[[#This Row],[BodyToRangeRatio]]&lt;=0.3,"Indecision",TRUE,"Mixed")</f>
        <v>Mixed</v>
      </c>
      <c r="Q7" s="9" t="str" cm="1">
        <f t="array" ref="Q7">_xlfn.IFS([1]!BTC_data[[#This Row],[HourUTC]]&lt;8,"Asia",[1]!BTC_data[[#This Row],[HourUTC]]&lt;13,"London",[1]!BTC_data[[#This Row],[HourUTC]]&lt;21,"New York",TRUE,"AfterHours")</f>
        <v>Asia</v>
      </c>
    </row>
    <row r="8" spans="1:17" x14ac:dyDescent="0.3">
      <c r="A8" s="5">
        <v>93617.1</v>
      </c>
      <c r="B8" s="5">
        <v>93736</v>
      </c>
      <c r="C8" s="5">
        <v>47969</v>
      </c>
      <c r="D8" s="5">
        <v>51.177679959999999</v>
      </c>
      <c r="E8" s="5">
        <v>840</v>
      </c>
      <c r="F8" s="5">
        <v>16182</v>
      </c>
      <c r="G8" s="5">
        <v>17.266838509999999</v>
      </c>
      <c r="H8" s="5">
        <f>[1]!BTC_data[[#This Row],[high]]-[1]!BTC_data[[#This Row],[low]]</f>
        <v>190.5</v>
      </c>
      <c r="I8" s="6">
        <f>[1]!BTC_data[[#This Row],[CandleRange]]/[1]!BTC_data[[#This Row],[open]]</f>
        <v>2.0348824788607224E-3</v>
      </c>
      <c r="J8" s="7">
        <f>ABS([1]!BTC_data[[#This Row],[open]]-[1]!BTC_data[[#This Row],[close]])</f>
        <v>118.80000000000291</v>
      </c>
      <c r="K8" s="6">
        <f>[1]!BTC_data[[#This Row],[CandleBody]]/[1]!BTC_data[[#This Row],[open]]</f>
        <v>1.2689975773682925E-3</v>
      </c>
      <c r="L8" s="8">
        <f>IF([1]!BTC_data[[#This Row],[CandleRange]]&gt;0,([1]!BTC_data[[#This Row],[close]]-[1]!BTC_data[[#This Row],[low]])/[1]!BTC_data[[#This Row],[CandleRange]],"")</f>
        <v>0.62414698162726601</v>
      </c>
      <c r="M8" s="8">
        <f>IF([1]!BTC_data[[#This Row],[quote_volume]]&gt;0,[1]!BTC_data[[#This Row],[taker_buy_quote_volume]]/[1]!BTC_data[[#This Row],[quote_volume]],"")</f>
        <v>0.3373900208742483</v>
      </c>
      <c r="N8" t="str" cm="1">
        <f t="array" ref="N8">_xlfn.IFS([1]!BTC_data[[#This Row],[open]]-[1]!BTC_data[[#This Row],[close]]&gt;0,"Bearish",[1]!BTC_data[[#This Row],[open]]-[1]!BTC_data[[#This Row],[close]]&lt;0,"Bullish",TRUE,"Neutral")</f>
        <v>Bullish</v>
      </c>
      <c r="O8" s="8">
        <f>IF([1]!BTC_data[[#This Row],[CandleRange]]&gt;0,[1]!BTC_data[[#This Row],[CandleBody]]/[1]!BTC_data[[#This Row],[CandleRange]],"")</f>
        <v>0.62362204724410975</v>
      </c>
      <c r="P8" s="9" t="str" cm="1">
        <f t="array" ref="P8">_xlfn.IFS([1]!BTC_data[[#This Row],[BodyToRangeRatio]]&gt;=0.7,"Directional",[1]!BTC_data[[#This Row],[BodyToRangeRatio]]&lt;=0.3,"Indecision",TRUE,"Mixed")</f>
        <v>Mixed</v>
      </c>
      <c r="Q8" s="9" t="str" cm="1">
        <f t="array" ref="Q8">_xlfn.IFS([1]!BTC_data[[#This Row],[HourUTC]]&lt;8,"Asia",[1]!BTC_data[[#This Row],[HourUTC]]&lt;13,"London",[1]!BTC_data[[#This Row],[HourUTC]]&lt;21,"New York",TRUE,"AfterHours")</f>
        <v>Asia</v>
      </c>
    </row>
    <row r="9" spans="1:17" x14ac:dyDescent="0.3">
      <c r="A9" s="10">
        <v>93685</v>
      </c>
      <c r="B9" s="10">
        <v>93755.9</v>
      </c>
      <c r="C9" s="10">
        <v>45868</v>
      </c>
      <c r="D9" s="10">
        <v>48.94468122</v>
      </c>
      <c r="E9" s="10">
        <v>646</v>
      </c>
      <c r="F9" s="10">
        <v>24566</v>
      </c>
      <c r="G9" s="10">
        <v>26.21461893</v>
      </c>
      <c r="H9" s="10">
        <f>[1]!BTC_data[[#This Row],[high]]-[1]!BTC_data[[#This Row],[low]]</f>
        <v>86.19999999999709</v>
      </c>
      <c r="I9" s="11">
        <f>[1]!BTC_data[[#This Row],[CandleRange]]/[1]!BTC_data[[#This Row],[open]]</f>
        <v>9.1960399419643564E-4</v>
      </c>
      <c r="J9" s="12">
        <f>ABS([1]!BTC_data[[#This Row],[open]]-[1]!BTC_data[[#This Row],[close]])</f>
        <v>19.899999999994179</v>
      </c>
      <c r="K9" s="11">
        <f>[1]!BTC_data[[#This Row],[CandleBody]]/[1]!BTC_data[[#This Row],[open]]</f>
        <v>2.1229836988984147E-4</v>
      </c>
      <c r="L9" s="13">
        <f>IF([1]!BTC_data[[#This Row],[CandleRange]]&gt;0,([1]!BTC_data[[#This Row],[close]]-[1]!BTC_data[[#This Row],[low]])/[1]!BTC_data[[#This Row],[CandleRange]],"")</f>
        <v>0.82250580046399735</v>
      </c>
      <c r="M9" s="13">
        <f>IF([1]!BTC_data[[#This Row],[quote_volume]]&gt;0,[1]!BTC_data[[#This Row],[taker_buy_quote_volume]]/[1]!BTC_data[[#This Row],[quote_volume]],"")</f>
        <v>0.53559688768159885</v>
      </c>
      <c r="N9" t="str" cm="1">
        <f t="array" ref="N9">_xlfn.IFS([1]!BTC_data[[#This Row],[open]]-[1]!BTC_data[[#This Row],[close]]&gt;0,"Bearish",[1]!BTC_data[[#This Row],[open]]-[1]!BTC_data[[#This Row],[close]]&lt;0,"Bullish",TRUE,"Neutral")</f>
        <v>Bullish</v>
      </c>
      <c r="O9" s="13">
        <f>IF([1]!BTC_data[[#This Row],[CandleRange]]&gt;0,[1]!BTC_data[[#This Row],[CandleBody]]/[1]!BTC_data[[#This Row],[CandleRange]],"")</f>
        <v>0.23085846867743448</v>
      </c>
      <c r="P9" s="9" t="str" cm="1">
        <f t="array" ref="P9">_xlfn.IFS([1]!BTC_data[[#This Row],[BodyToRangeRatio]]&gt;=0.7,"Directional",[1]!BTC_data[[#This Row],[BodyToRangeRatio]]&lt;=0.3,"Indecision",TRUE,"Mixed")</f>
        <v>Indecision</v>
      </c>
      <c r="Q9" s="9" t="str" cm="1">
        <f t="array" ref="Q9">_xlfn.IFS([1]!BTC_data[[#This Row],[HourUTC]]&lt;8,"Asia",[1]!BTC_data[[#This Row],[HourUTC]]&lt;13,"London",[1]!BTC_data[[#This Row],[HourUTC]]&lt;21,"New York",TRUE,"AfterHours")</f>
        <v>Asia</v>
      </c>
    </row>
    <row r="10" spans="1:17" x14ac:dyDescent="0.3">
      <c r="A10" s="5">
        <v>93727.8</v>
      </c>
      <c r="B10" s="5">
        <v>93727.8</v>
      </c>
      <c r="C10" s="5">
        <v>25544</v>
      </c>
      <c r="D10" s="5">
        <v>27.246314309999999</v>
      </c>
      <c r="E10" s="5">
        <v>432</v>
      </c>
      <c r="F10" s="5">
        <v>16559</v>
      </c>
      <c r="G10" s="5">
        <v>17.663167959999999</v>
      </c>
      <c r="H10" s="5">
        <f>[1]!BTC_data[[#This Row],[high]]-[1]!BTC_data[[#This Row],[low]]</f>
        <v>71.5</v>
      </c>
      <c r="I10" s="6">
        <f>[1]!BTC_data[[#This Row],[CandleRange]]/[1]!BTC_data[[#This Row],[open]]</f>
        <v>7.6261948594113637E-4</v>
      </c>
      <c r="J10" s="7">
        <f>ABS([1]!BTC_data[[#This Row],[open]]-[1]!BTC_data[[#This Row],[close]])</f>
        <v>28</v>
      </c>
      <c r="K10" s="6">
        <f>[1]!BTC_data[[#This Row],[CandleBody]]/[1]!BTC_data[[#This Row],[open]]</f>
        <v>2.9864819029862684E-4</v>
      </c>
      <c r="L10" s="8">
        <f>IF([1]!BTC_data[[#This Row],[CandleRange]]&gt;0,([1]!BTC_data[[#This Row],[close]]-[1]!BTC_data[[#This Row],[low]])/[1]!BTC_data[[#This Row],[CandleRange]],"")</f>
        <v>0</v>
      </c>
      <c r="M10" s="8">
        <f>IF([1]!BTC_data[[#This Row],[quote_volume]]&gt;0,[1]!BTC_data[[#This Row],[taker_buy_quote_volume]]/[1]!BTC_data[[#This Row],[quote_volume]],"")</f>
        <v>0.64827733245069508</v>
      </c>
      <c r="N10" t="str" cm="1">
        <f t="array" ref="N10">_xlfn.IFS([1]!BTC_data[[#This Row],[open]]-[1]!BTC_data[[#This Row],[close]]&gt;0,"Bearish",[1]!BTC_data[[#This Row],[open]]-[1]!BTC_data[[#This Row],[close]]&lt;0,"Bullish",TRUE,"Neutral")</f>
        <v>Bearish</v>
      </c>
      <c r="O10" s="8">
        <f>IF([1]!BTC_data[[#This Row],[CandleRange]]&gt;0,[1]!BTC_data[[#This Row],[CandleBody]]/[1]!BTC_data[[#This Row],[CandleRange]],"")</f>
        <v>0.39160839160839161</v>
      </c>
      <c r="P10" s="9" t="str" cm="1">
        <f t="array" ref="P10">_xlfn.IFS([1]!BTC_data[[#This Row],[BodyToRangeRatio]]&gt;=0.7,"Directional",[1]!BTC_data[[#This Row],[BodyToRangeRatio]]&lt;=0.3,"Indecision",TRUE,"Mixed")</f>
        <v>Mixed</v>
      </c>
      <c r="Q10" s="9" t="str" cm="1">
        <f t="array" ref="Q10">_xlfn.IFS([1]!BTC_data[[#This Row],[HourUTC]]&lt;8,"Asia",[1]!BTC_data[[#This Row],[HourUTC]]&lt;13,"London",[1]!BTC_data[[#This Row],[HourUTC]]&lt;21,"New York",TRUE,"AfterHours")</f>
        <v>Asia</v>
      </c>
    </row>
    <row r="11" spans="1:17" x14ac:dyDescent="0.3">
      <c r="A11" s="10">
        <v>93707.6</v>
      </c>
      <c r="B11" s="10">
        <v>93834.2</v>
      </c>
      <c r="C11" s="10">
        <v>73663</v>
      </c>
      <c r="D11" s="10">
        <v>78.539015019999994</v>
      </c>
      <c r="E11" s="10">
        <v>732</v>
      </c>
      <c r="F11" s="10">
        <v>69280</v>
      </c>
      <c r="G11" s="10">
        <v>73.865777410000007</v>
      </c>
      <c r="H11" s="10">
        <f>[1]!BTC_data[[#This Row],[high]]-[1]!BTC_data[[#This Row],[low]]</f>
        <v>131</v>
      </c>
      <c r="I11" s="11">
        <f>[1]!BTC_data[[#This Row],[CandleRange]]/[1]!BTC_data[[#This Row],[open]]</f>
        <v>1.397662809046186E-3</v>
      </c>
      <c r="J11" s="12">
        <f>ABS([1]!BTC_data[[#This Row],[open]]-[1]!BTC_data[[#This Row],[close]])</f>
        <v>106.30000000000291</v>
      </c>
      <c r="K11" s="11">
        <f>[1]!BTC_data[[#This Row],[CandleBody]]/[1]!BTC_data[[#This Row],[open]]</f>
        <v>1.134134019859646E-3</v>
      </c>
      <c r="L11" s="13">
        <f>IF([1]!BTC_data[[#This Row],[CandleRange]]&gt;0,([1]!BTC_data[[#This Row],[close]]-[1]!BTC_data[[#This Row],[low]])/[1]!BTC_data[[#This Row],[CandleRange]],"")</f>
        <v>0.96641221374039132</v>
      </c>
      <c r="M11" s="13">
        <f>IF([1]!BTC_data[[#This Row],[quote_volume]]&gt;0,[1]!BTC_data[[#This Row],[taker_buy_quote_volume]]/[1]!BTC_data[[#This Row],[quote_volume]],"")</f>
        <v>0.9404978836466189</v>
      </c>
      <c r="N11" t="str" cm="1">
        <f t="array" ref="N11">_xlfn.IFS([1]!BTC_data[[#This Row],[open]]-[1]!BTC_data[[#This Row],[close]]&gt;0,"Bearish",[1]!BTC_data[[#This Row],[open]]-[1]!BTC_data[[#This Row],[close]]&lt;0,"Bullish",TRUE,"Neutral")</f>
        <v>Bullish</v>
      </c>
      <c r="O11" s="13">
        <f>IF([1]!BTC_data[[#This Row],[CandleRange]]&gt;0,[1]!BTC_data[[#This Row],[CandleBody]]/[1]!BTC_data[[#This Row],[CandleRange]],"")</f>
        <v>0.81145038167941153</v>
      </c>
      <c r="P11" s="9" t="str" cm="1">
        <f t="array" ref="P11">_xlfn.IFS([1]!BTC_data[[#This Row],[BodyToRangeRatio]]&gt;=0.7,"Directional",[1]!BTC_data[[#This Row],[BodyToRangeRatio]]&lt;=0.3,"Indecision",TRUE,"Mixed")</f>
        <v>Directional</v>
      </c>
      <c r="Q11" s="9" t="str" cm="1">
        <f t="array" ref="Q11">_xlfn.IFS([1]!BTC_data[[#This Row],[HourUTC]]&lt;8,"Asia",[1]!BTC_data[[#This Row],[HourUTC]]&lt;13,"London",[1]!BTC_data[[#This Row],[HourUTC]]&lt;21,"New York",TRUE,"AfterHours")</f>
        <v>Asia</v>
      </c>
    </row>
    <row r="12" spans="1:17" x14ac:dyDescent="0.3">
      <c r="A12" s="5">
        <v>93814.3</v>
      </c>
      <c r="B12" s="5">
        <v>94099.4</v>
      </c>
      <c r="C12" s="5">
        <v>141111</v>
      </c>
      <c r="D12" s="5">
        <v>150.14827689000001</v>
      </c>
      <c r="E12" s="5">
        <v>1894</v>
      </c>
      <c r="F12" s="5">
        <v>100880</v>
      </c>
      <c r="G12" s="5">
        <v>107.33914119000001</v>
      </c>
      <c r="H12" s="5">
        <f>[1]!BTC_data[[#This Row],[high]]-[1]!BTC_data[[#This Row],[low]]</f>
        <v>343.59999999999127</v>
      </c>
      <c r="I12" s="6">
        <f>[1]!BTC_data[[#This Row],[CandleRange]]/[1]!BTC_data[[#This Row],[open]]</f>
        <v>3.6617818042693566E-3</v>
      </c>
      <c r="J12" s="7">
        <f>ABS([1]!BTC_data[[#This Row],[open]]-[1]!BTC_data[[#This Row],[close]])</f>
        <v>265.29999999998836</v>
      </c>
      <c r="K12" s="6">
        <f>[1]!BTC_data[[#This Row],[CandleBody]]/[1]!BTC_data[[#This Row],[open]]</f>
        <v>2.8273303628423819E-3</v>
      </c>
      <c r="L12" s="8">
        <f>IF([1]!BTC_data[[#This Row],[CandleRange]]&gt;0,([1]!BTC_data[[#This Row],[close]]-[1]!BTC_data[[#This Row],[low]])/[1]!BTC_data[[#This Row],[CandleRange]],"")</f>
        <v>0.82974388824213774</v>
      </c>
      <c r="M12" s="8">
        <f>IF([1]!BTC_data[[#This Row],[quote_volume]]&gt;0,[1]!BTC_data[[#This Row],[taker_buy_quote_volume]]/[1]!BTC_data[[#This Row],[quote_volume]],"")</f>
        <v>0.71488759920060652</v>
      </c>
      <c r="N12" t="str" cm="1">
        <f t="array" ref="N12">_xlfn.IFS([1]!BTC_data[[#This Row],[open]]-[1]!BTC_data[[#This Row],[close]]&gt;0,"Bearish",[1]!BTC_data[[#This Row],[open]]-[1]!BTC_data[[#This Row],[close]]&lt;0,"Bullish",TRUE,"Neutral")</f>
        <v>Bullish</v>
      </c>
      <c r="O12" s="8">
        <f>IF([1]!BTC_data[[#This Row],[CandleRange]]&gt;0,[1]!BTC_data[[#This Row],[CandleBody]]/[1]!BTC_data[[#This Row],[CandleRange]],"")</f>
        <v>0.77211874272408354</v>
      </c>
      <c r="P12" s="9" t="str" cm="1">
        <f t="array" ref="P12">_xlfn.IFS([1]!BTC_data[[#This Row],[BodyToRangeRatio]]&gt;=0.7,"Directional",[1]!BTC_data[[#This Row],[BodyToRangeRatio]]&lt;=0.3,"Indecision",TRUE,"Mixed")</f>
        <v>Directional</v>
      </c>
      <c r="Q12" s="9" t="str" cm="1">
        <f t="array" ref="Q12">_xlfn.IFS([1]!BTC_data[[#This Row],[HourUTC]]&lt;8,"Asia",[1]!BTC_data[[#This Row],[HourUTC]]&lt;13,"London",[1]!BTC_data[[#This Row],[HourUTC]]&lt;21,"New York",TRUE,"AfterHours")</f>
        <v>Asia</v>
      </c>
    </row>
    <row r="13" spans="1:17" x14ac:dyDescent="0.3">
      <c r="A13" s="10">
        <v>94045.5</v>
      </c>
      <c r="B13" s="10">
        <v>94246.8</v>
      </c>
      <c r="C13" s="10">
        <v>99967</v>
      </c>
      <c r="D13" s="10">
        <v>106.15702662</v>
      </c>
      <c r="E13" s="10">
        <v>1842</v>
      </c>
      <c r="F13" s="10">
        <v>65991</v>
      </c>
      <c r="G13" s="10">
        <v>70.082473089999993</v>
      </c>
      <c r="H13" s="10">
        <f>[1]!BTC_data[[#This Row],[high]]-[1]!BTC_data[[#This Row],[low]]</f>
        <v>283.39999999999418</v>
      </c>
      <c r="I13" s="11">
        <f>[1]!BTC_data[[#This Row],[CandleRange]]/[1]!BTC_data[[#This Row],[open]]</f>
        <v>3.0117088950619686E-3</v>
      </c>
      <c r="J13" s="12">
        <f>ABS([1]!BTC_data[[#This Row],[open]]-[1]!BTC_data[[#This Row],[close]])</f>
        <v>147.40000000000873</v>
      </c>
      <c r="K13" s="11">
        <f>[1]!BTC_data[[#This Row],[CandleBody]]/[1]!BTC_data[[#This Row],[open]]</f>
        <v>1.5664286913626307E-3</v>
      </c>
      <c r="L13" s="13">
        <f>IF([1]!BTC_data[[#This Row],[CandleRange]]&gt;0,([1]!BTC_data[[#This Row],[close]]-[1]!BTC_data[[#This Row],[low]])/[1]!BTC_data[[#This Row],[CandleRange]],"")</f>
        <v>0.71030345800990491</v>
      </c>
      <c r="M13" s="13">
        <f>IF([1]!BTC_data[[#This Row],[quote_volume]]&gt;0,[1]!BTC_data[[#This Row],[taker_buy_quote_volume]]/[1]!BTC_data[[#This Row],[quote_volume]],"")</f>
        <v>0.66017743074951996</v>
      </c>
      <c r="N13" t="str" cm="1">
        <f t="array" ref="N13">_xlfn.IFS([1]!BTC_data[[#This Row],[open]]-[1]!BTC_data[[#This Row],[close]]&gt;0,"Bearish",[1]!BTC_data[[#This Row],[open]]-[1]!BTC_data[[#This Row],[close]]&lt;0,"Bullish",TRUE,"Neutral")</f>
        <v>Bullish</v>
      </c>
      <c r="O13" s="13">
        <f>IF([1]!BTC_data[[#This Row],[CandleRange]]&gt;0,[1]!BTC_data[[#This Row],[CandleBody]]/[1]!BTC_data[[#This Row],[CandleRange]],"")</f>
        <v>0.52011291460836895</v>
      </c>
      <c r="P13" s="9" t="str" cm="1">
        <f t="array" ref="P13">_xlfn.IFS([1]!BTC_data[[#This Row],[BodyToRangeRatio]]&gt;=0.7,"Directional",[1]!BTC_data[[#This Row],[BodyToRangeRatio]]&lt;=0.3,"Indecision",TRUE,"Mixed")</f>
        <v>Mixed</v>
      </c>
      <c r="Q13" s="9" t="str" cm="1">
        <f t="array" ref="Q13">_xlfn.IFS([1]!BTC_data[[#This Row],[HourUTC]]&lt;8,"Asia",[1]!BTC_data[[#This Row],[HourUTC]]&lt;13,"London",[1]!BTC_data[[#This Row],[HourUTC]]&lt;21,"New York",TRUE,"AfterHours")</f>
        <v>Asia</v>
      </c>
    </row>
    <row r="14" spans="1:17" x14ac:dyDescent="0.3">
      <c r="A14" s="5">
        <v>93940</v>
      </c>
      <c r="B14" s="5">
        <v>93959.5</v>
      </c>
      <c r="C14" s="5">
        <v>50365</v>
      </c>
      <c r="D14" s="5">
        <v>53.545593629999999</v>
      </c>
      <c r="E14" s="5">
        <v>1101</v>
      </c>
      <c r="F14" s="5">
        <v>28636</v>
      </c>
      <c r="G14" s="5">
        <v>30.447911609999998</v>
      </c>
      <c r="H14" s="5">
        <f>[1]!BTC_data[[#This Row],[high]]-[1]!BTC_data[[#This Row],[low]]</f>
        <v>312</v>
      </c>
      <c r="I14" s="6">
        <f>[1]!BTC_data[[#This Row],[CandleRange]]/[1]!BTC_data[[#This Row],[open]]</f>
        <v>3.3104572250728936E-3</v>
      </c>
      <c r="J14" s="7">
        <f>ABS([1]!BTC_data[[#This Row],[open]]-[1]!BTC_data[[#This Row],[close]])</f>
        <v>287.30000000000291</v>
      </c>
      <c r="K14" s="6">
        <f>[1]!BTC_data[[#This Row],[CandleBody]]/[1]!BTC_data[[#This Row],[open]]</f>
        <v>3.0483793614213203E-3</v>
      </c>
      <c r="L14" s="8">
        <f>IF([1]!BTC_data[[#This Row],[CandleRange]]&gt;0,([1]!BTC_data[[#This Row],[close]]-[1]!BTC_data[[#This Row],[low]])/[1]!BTC_data[[#This Row],[CandleRange]],"")</f>
        <v>6.25E-2</v>
      </c>
      <c r="M14" s="8">
        <f>IF([1]!BTC_data[[#This Row],[quote_volume]]&gt;0,[1]!BTC_data[[#This Row],[taker_buy_quote_volume]]/[1]!BTC_data[[#This Row],[quote_volume]],"")</f>
        <v>0.56863524233936114</v>
      </c>
      <c r="N14" t="str" cm="1">
        <f t="array" ref="N14">_xlfn.IFS([1]!BTC_data[[#This Row],[open]]-[1]!BTC_data[[#This Row],[close]]&gt;0,"Bearish",[1]!BTC_data[[#This Row],[open]]-[1]!BTC_data[[#This Row],[close]]&lt;0,"Bullish",TRUE,"Neutral")</f>
        <v>Bearish</v>
      </c>
      <c r="O14" s="8">
        <f>IF([1]!BTC_data[[#This Row],[CandleRange]]&gt;0,[1]!BTC_data[[#This Row],[CandleBody]]/[1]!BTC_data[[#This Row],[CandleRange]],"")</f>
        <v>0.92083333333334261</v>
      </c>
      <c r="P14" s="9" t="str" cm="1">
        <f t="array" ref="P14">_xlfn.IFS([1]!BTC_data[[#This Row],[BodyToRangeRatio]]&gt;=0.7,"Directional",[1]!BTC_data[[#This Row],[BodyToRangeRatio]]&lt;=0.3,"Indecision",TRUE,"Mixed")</f>
        <v>Directional</v>
      </c>
      <c r="Q14" s="9" t="str" cm="1">
        <f t="array" ref="Q14">_xlfn.IFS([1]!BTC_data[[#This Row],[HourUTC]]&lt;8,"Asia",[1]!BTC_data[[#This Row],[HourUTC]]&lt;13,"London",[1]!BTC_data[[#This Row],[HourUTC]]&lt;21,"New York",TRUE,"AfterHours")</f>
        <v>Asia</v>
      </c>
    </row>
    <row r="15" spans="1:17" x14ac:dyDescent="0.3">
      <c r="A15" s="10">
        <v>93762.3</v>
      </c>
      <c r="B15" s="10">
        <v>93915.9</v>
      </c>
      <c r="C15" s="10">
        <v>77599</v>
      </c>
      <c r="D15" s="10">
        <v>82.689943679999999</v>
      </c>
      <c r="E15" s="10">
        <v>1194</v>
      </c>
      <c r="F15" s="10">
        <v>21521</v>
      </c>
      <c r="G15" s="10">
        <v>22.940645369999999</v>
      </c>
      <c r="H15" s="10">
        <f>[1]!BTC_data[[#This Row],[high]]-[1]!BTC_data[[#This Row],[low]]</f>
        <v>193.80000000000291</v>
      </c>
      <c r="I15" s="11">
        <f>[1]!BTC_data[[#This Row],[CandleRange]]/[1]!BTC_data[[#This Row],[open]]</f>
        <v>2.0626654363048581E-3</v>
      </c>
      <c r="J15" s="12">
        <f>ABS([1]!BTC_data[[#This Row],[open]]-[1]!BTC_data[[#This Row],[close]])</f>
        <v>40.200000000011642</v>
      </c>
      <c r="K15" s="11">
        <f>[1]!BTC_data[[#This Row],[CandleBody]]/[1]!BTC_data[[#This Row],[open]]</f>
        <v>4.2785939390855557E-4</v>
      </c>
      <c r="L15" s="13">
        <f>IF([1]!BTC_data[[#This Row],[CandleRange]]&gt;0,([1]!BTC_data[[#This Row],[close]]-[1]!BTC_data[[#This Row],[low]])/[1]!BTC_data[[#This Row],[CandleRange]],"")</f>
        <v>0.79256965944266755</v>
      </c>
      <c r="M15" s="13">
        <f>IF([1]!BTC_data[[#This Row],[quote_volume]]&gt;0,[1]!BTC_data[[#This Row],[taker_buy_quote_volume]]/[1]!BTC_data[[#This Row],[quote_volume]],"")</f>
        <v>0.27742968913822824</v>
      </c>
      <c r="N15" t="str" cm="1">
        <f t="array" ref="N15">_xlfn.IFS([1]!BTC_data[[#This Row],[open]]-[1]!BTC_data[[#This Row],[close]]&gt;0,"Bearish",[1]!BTC_data[[#This Row],[open]]-[1]!BTC_data[[#This Row],[close]]&lt;0,"Bullish",TRUE,"Neutral")</f>
        <v>Bearish</v>
      </c>
      <c r="O15" s="13">
        <f>IF([1]!BTC_data[[#This Row],[CandleRange]]&gt;0,[1]!BTC_data[[#This Row],[CandleBody]]/[1]!BTC_data[[#This Row],[CandleRange]],"")</f>
        <v>0.2074303405573325</v>
      </c>
      <c r="P15" s="9" t="str" cm="1">
        <f t="array" ref="P15">_xlfn.IFS([1]!BTC_data[[#This Row],[BodyToRangeRatio]]&gt;=0.7,"Directional",[1]!BTC_data[[#This Row],[BodyToRangeRatio]]&lt;=0.3,"Indecision",TRUE,"Mixed")</f>
        <v>Indecision</v>
      </c>
      <c r="Q15" s="9" t="str" cm="1">
        <f t="array" ref="Q15">_xlfn.IFS([1]!BTC_data[[#This Row],[HourUTC]]&lt;8,"Asia",[1]!BTC_data[[#This Row],[HourUTC]]&lt;13,"London",[1]!BTC_data[[#This Row],[HourUTC]]&lt;21,"New York",TRUE,"AfterHours")</f>
        <v>Asia</v>
      </c>
    </row>
    <row r="16" spans="1:17" x14ac:dyDescent="0.3">
      <c r="A16" s="5">
        <v>93915.9</v>
      </c>
      <c r="B16" s="5">
        <v>93995.8</v>
      </c>
      <c r="C16" s="5">
        <v>47527</v>
      </c>
      <c r="D16" s="5">
        <v>50.572183590000002</v>
      </c>
      <c r="E16" s="5">
        <v>763</v>
      </c>
      <c r="F16" s="5">
        <v>29548</v>
      </c>
      <c r="G16" s="5">
        <v>31.444026640000001</v>
      </c>
      <c r="H16" s="5">
        <f>[1]!BTC_data[[#This Row],[high]]-[1]!BTC_data[[#This Row],[low]]</f>
        <v>109.30000000000291</v>
      </c>
      <c r="I16" s="6">
        <f>[1]!BTC_data[[#This Row],[CandleRange]]/[1]!BTC_data[[#This Row],[open]]</f>
        <v>1.1638071934571561E-3</v>
      </c>
      <c r="J16" s="7">
        <f>ABS([1]!BTC_data[[#This Row],[open]]-[1]!BTC_data[[#This Row],[close]])</f>
        <v>79.900000000008731</v>
      </c>
      <c r="K16" s="6">
        <f>[1]!BTC_data[[#This Row],[CandleBody]]/[1]!BTC_data[[#This Row],[open]]</f>
        <v>8.5076115971852195E-4</v>
      </c>
      <c r="L16" s="8">
        <f>IF([1]!BTC_data[[#This Row],[CandleRange]]&gt;0,([1]!BTC_data[[#This Row],[close]]-[1]!BTC_data[[#This Row],[low]])/[1]!BTC_data[[#This Row],[CandleRange]],"")</f>
        <v>0.73101555352247582</v>
      </c>
      <c r="M16" s="8">
        <f>IF([1]!BTC_data[[#This Row],[quote_volume]]&gt;0,[1]!BTC_data[[#This Row],[taker_buy_quote_volume]]/[1]!BTC_data[[#This Row],[quote_volume]],"")</f>
        <v>0.62176525528191062</v>
      </c>
      <c r="N16" t="str" cm="1">
        <f t="array" ref="N16">_xlfn.IFS([1]!BTC_data[[#This Row],[open]]-[1]!BTC_data[[#This Row],[close]]&gt;0,"Bearish",[1]!BTC_data[[#This Row],[open]]-[1]!BTC_data[[#This Row],[close]]&lt;0,"Bullish",TRUE,"Neutral")</f>
        <v>Bullish</v>
      </c>
      <c r="O16" s="8">
        <f>IF([1]!BTC_data[[#This Row],[CandleRange]]&gt;0,[1]!BTC_data[[#This Row],[CandleBody]]/[1]!BTC_data[[#This Row],[CandleRange]],"")</f>
        <v>0.73101555352247582</v>
      </c>
      <c r="P16" s="9" t="str" cm="1">
        <f t="array" ref="P16">_xlfn.IFS([1]!BTC_data[[#This Row],[BodyToRangeRatio]]&gt;=0.7,"Directional",[1]!BTC_data[[#This Row],[BodyToRangeRatio]]&lt;=0.3,"Indecision",TRUE,"Mixed")</f>
        <v>Directional</v>
      </c>
      <c r="Q16" s="9" t="str" cm="1">
        <f t="array" ref="Q16">_xlfn.IFS([1]!BTC_data[[#This Row],[HourUTC]]&lt;8,"Asia",[1]!BTC_data[[#This Row],[HourUTC]]&lt;13,"London",[1]!BTC_data[[#This Row],[HourUTC]]&lt;21,"New York",TRUE,"AfterHours")</f>
        <v>Asia</v>
      </c>
    </row>
    <row r="17" spans="1:17" x14ac:dyDescent="0.3">
      <c r="A17" s="10">
        <v>93822.399999999994</v>
      </c>
      <c r="B17" s="10">
        <v>93847.8</v>
      </c>
      <c r="C17" s="10">
        <v>21228</v>
      </c>
      <c r="D17" s="10">
        <v>22.61264087</v>
      </c>
      <c r="E17" s="10">
        <v>604</v>
      </c>
      <c r="F17" s="10">
        <v>10355</v>
      </c>
      <c r="G17" s="10">
        <v>11.033186260000001</v>
      </c>
      <c r="H17" s="10">
        <f>[1]!BTC_data[[#This Row],[high]]-[1]!BTC_data[[#This Row],[low]]</f>
        <v>173.40000000000873</v>
      </c>
      <c r="I17" s="11">
        <f>[1]!BTC_data[[#This Row],[CandleRange]]/[1]!BTC_data[[#This Row],[open]]</f>
        <v>1.844763276657135E-3</v>
      </c>
      <c r="J17" s="12">
        <f>ABS([1]!BTC_data[[#This Row],[open]]-[1]!BTC_data[[#This Row],[close]])</f>
        <v>148</v>
      </c>
      <c r="K17" s="11">
        <f>[1]!BTC_data[[#This Row],[CandleBody]]/[1]!BTC_data[[#This Row],[open]]</f>
        <v>1.574538436823773E-3</v>
      </c>
      <c r="L17" s="13">
        <f>IF([1]!BTC_data[[#This Row],[CandleRange]]&gt;0,([1]!BTC_data[[#This Row],[close]]-[1]!BTC_data[[#This Row],[low]])/[1]!BTC_data[[#This Row],[CandleRange]],"")</f>
        <v>0.14648212226071194</v>
      </c>
      <c r="M17" s="13">
        <f>IF([1]!BTC_data[[#This Row],[quote_volume]]&gt;0,[1]!BTC_data[[#This Row],[taker_buy_quote_volume]]/[1]!BTC_data[[#This Row],[quote_volume]],"")</f>
        <v>0.48792117309206623</v>
      </c>
      <c r="N17" t="str" cm="1">
        <f t="array" ref="N17">_xlfn.IFS([1]!BTC_data[[#This Row],[open]]-[1]!BTC_data[[#This Row],[close]]&gt;0,"Bearish",[1]!BTC_data[[#This Row],[open]]-[1]!BTC_data[[#This Row],[close]]&lt;0,"Bullish",TRUE,"Neutral")</f>
        <v>Bearish</v>
      </c>
      <c r="O17" s="13">
        <f>IF([1]!BTC_data[[#This Row],[CandleRange]]&gt;0,[1]!BTC_data[[#This Row],[CandleBody]]/[1]!BTC_data[[#This Row],[CandleRange]],"")</f>
        <v>0.853517877739288</v>
      </c>
      <c r="P17" s="9" t="str" cm="1">
        <f t="array" ref="P17">_xlfn.IFS([1]!BTC_data[[#This Row],[BodyToRangeRatio]]&gt;=0.7,"Directional",[1]!BTC_data[[#This Row],[BodyToRangeRatio]]&lt;=0.3,"Indecision",TRUE,"Mixed")</f>
        <v>Directional</v>
      </c>
      <c r="Q17" s="9" t="str" cm="1">
        <f t="array" ref="Q17">_xlfn.IFS([1]!BTC_data[[#This Row],[HourUTC]]&lt;8,"Asia",[1]!BTC_data[[#This Row],[HourUTC]]&lt;13,"London",[1]!BTC_data[[#This Row],[HourUTC]]&lt;21,"New York",TRUE,"AfterHours")</f>
        <v>Asia</v>
      </c>
    </row>
    <row r="18" spans="1:17" x14ac:dyDescent="0.3">
      <c r="A18" s="5">
        <v>93723.3</v>
      </c>
      <c r="B18" s="5">
        <v>93770.5</v>
      </c>
      <c r="C18" s="5">
        <v>23472</v>
      </c>
      <c r="D18" s="5">
        <v>25.027401309999998</v>
      </c>
      <c r="E18" s="5">
        <v>583</v>
      </c>
      <c r="F18" s="5">
        <v>4935</v>
      </c>
      <c r="G18" s="5">
        <v>5.26204333</v>
      </c>
      <c r="H18" s="5">
        <f>[1]!BTC_data[[#This Row],[high]]-[1]!BTC_data[[#This Row],[low]]</f>
        <v>124.69999999999709</v>
      </c>
      <c r="I18" s="6">
        <f>[1]!BTC_data[[#This Row],[CandleRange]]/[1]!BTC_data[[#This Row],[open]]</f>
        <v>1.3287471842706711E-3</v>
      </c>
      <c r="J18" s="7">
        <f>ABS([1]!BTC_data[[#This Row],[open]]-[1]!BTC_data[[#This Row],[close]])</f>
        <v>77.30000000000291</v>
      </c>
      <c r="K18" s="6">
        <f>[1]!BTC_data[[#This Row],[CandleBody]]/[1]!BTC_data[[#This Row],[open]]</f>
        <v>8.2367407653672123E-4</v>
      </c>
      <c r="L18" s="8">
        <f>IF([1]!BTC_data[[#This Row],[CandleRange]]&gt;0,([1]!BTC_data[[#This Row],[close]]-[1]!BTC_data[[#This Row],[low]])/[1]!BTC_data[[#This Row],[CandleRange]],"")</f>
        <v>0.37850842020848591</v>
      </c>
      <c r="M18" s="8">
        <f>IF([1]!BTC_data[[#This Row],[quote_volume]]&gt;0,[1]!BTC_data[[#This Row],[taker_buy_quote_volume]]/[1]!BTC_data[[#This Row],[quote_volume]],"")</f>
        <v>0.21025128677252988</v>
      </c>
      <c r="N18" t="str" cm="1">
        <f t="array" ref="N18">_xlfn.IFS([1]!BTC_data[[#This Row],[open]]-[1]!BTC_data[[#This Row],[close]]&gt;0,"Bearish",[1]!BTC_data[[#This Row],[open]]-[1]!BTC_data[[#This Row],[close]]&lt;0,"Bullish",TRUE,"Neutral")</f>
        <v>Bearish</v>
      </c>
      <c r="O18" s="8">
        <f>IF([1]!BTC_data[[#This Row],[CandleRange]]&gt;0,[1]!BTC_data[[#This Row],[CandleBody]]/[1]!BTC_data[[#This Row],[CandleRange]],"")</f>
        <v>0.61988773055336577</v>
      </c>
      <c r="P18" s="9" t="str" cm="1">
        <f t="array" ref="P18">_xlfn.IFS([1]!BTC_data[[#This Row],[BodyToRangeRatio]]&gt;=0.7,"Directional",[1]!BTC_data[[#This Row],[BodyToRangeRatio]]&lt;=0.3,"Indecision",TRUE,"Mixed")</f>
        <v>Mixed</v>
      </c>
      <c r="Q18" s="9" t="str" cm="1">
        <f t="array" ref="Q18">_xlfn.IFS([1]!BTC_data[[#This Row],[HourUTC]]&lt;8,"Asia",[1]!BTC_data[[#This Row],[HourUTC]]&lt;13,"London",[1]!BTC_data[[#This Row],[HourUTC]]&lt;21,"New York",TRUE,"AfterHours")</f>
        <v>Asia</v>
      </c>
    </row>
    <row r="19" spans="1:17" x14ac:dyDescent="0.3">
      <c r="A19" s="10">
        <v>93702.3</v>
      </c>
      <c r="B19" s="10">
        <v>93702.3</v>
      </c>
      <c r="C19" s="10">
        <v>24885</v>
      </c>
      <c r="D19" s="10">
        <v>26.545327100000002</v>
      </c>
      <c r="E19" s="10">
        <v>475</v>
      </c>
      <c r="F19" s="10">
        <v>7971</v>
      </c>
      <c r="G19" s="10">
        <v>8.5029669499999994</v>
      </c>
      <c r="H19" s="10">
        <f>[1]!BTC_data[[#This Row],[high]]-[1]!BTC_data[[#This Row],[low]]</f>
        <v>97.5</v>
      </c>
      <c r="I19" s="11">
        <f>[1]!BTC_data[[#This Row],[CandleRange]]/[1]!BTC_data[[#This Row],[open]]</f>
        <v>1.0397726363835108E-3</v>
      </c>
      <c r="J19" s="12">
        <f>ABS([1]!BTC_data[[#This Row],[open]]-[1]!BTC_data[[#This Row],[close]])</f>
        <v>68.19999999999709</v>
      </c>
      <c r="K19" s="11">
        <f>[1]!BTC_data[[#This Row],[CandleBody]]/[1]!BTC_data[[#This Row],[open]]</f>
        <v>7.273076287318196E-4</v>
      </c>
      <c r="L19" s="13">
        <f>IF([1]!BTC_data[[#This Row],[CandleRange]]&gt;0,([1]!BTC_data[[#This Row],[close]]-[1]!BTC_data[[#This Row],[low]])/[1]!BTC_data[[#This Row],[CandleRange]],"")</f>
        <v>0</v>
      </c>
      <c r="M19" s="13">
        <f>IF([1]!BTC_data[[#This Row],[quote_volume]]&gt;0,[1]!BTC_data[[#This Row],[taker_buy_quote_volume]]/[1]!BTC_data[[#This Row],[quote_volume]],"")</f>
        <v>0.32031878597570562</v>
      </c>
      <c r="N19" t="str" cm="1">
        <f t="array" ref="N19">_xlfn.IFS([1]!BTC_data[[#This Row],[open]]-[1]!BTC_data[[#This Row],[close]]&gt;0,"Bearish",[1]!BTC_data[[#This Row],[open]]-[1]!BTC_data[[#This Row],[close]]&lt;0,"Bullish",TRUE,"Neutral")</f>
        <v>Bearish</v>
      </c>
      <c r="O19" s="13">
        <f>IF([1]!BTC_data[[#This Row],[CandleRange]]&gt;0,[1]!BTC_data[[#This Row],[CandleBody]]/[1]!BTC_data[[#This Row],[CandleRange]],"")</f>
        <v>0.69948717948714967</v>
      </c>
      <c r="P19" s="9" t="str" cm="1">
        <f t="array" ref="P19">_xlfn.IFS([1]!BTC_data[[#This Row],[BodyToRangeRatio]]&gt;=0.7,"Directional",[1]!BTC_data[[#This Row],[BodyToRangeRatio]]&lt;=0.3,"Indecision",TRUE,"Mixed")</f>
        <v>Mixed</v>
      </c>
      <c r="Q19" s="9" t="str" cm="1">
        <f t="array" ref="Q19">_xlfn.IFS([1]!BTC_data[[#This Row],[HourUTC]]&lt;8,"Asia",[1]!BTC_data[[#This Row],[HourUTC]]&lt;13,"London",[1]!BTC_data[[#This Row],[HourUTC]]&lt;21,"New York",TRUE,"AfterHours")</f>
        <v>Asia</v>
      </c>
    </row>
    <row r="20" spans="1:17" x14ac:dyDescent="0.3">
      <c r="A20" s="5">
        <v>93696.2</v>
      </c>
      <c r="B20" s="5">
        <v>93816.8</v>
      </c>
      <c r="C20" s="5">
        <v>33299</v>
      </c>
      <c r="D20" s="5">
        <v>35.502355059999999</v>
      </c>
      <c r="E20" s="5">
        <v>731</v>
      </c>
      <c r="F20" s="5">
        <v>17236</v>
      </c>
      <c r="G20" s="5">
        <v>18.38023072</v>
      </c>
      <c r="H20" s="5">
        <f>[1]!BTC_data[[#This Row],[high]]-[1]!BTC_data[[#This Row],[low]]</f>
        <v>144.80000000000291</v>
      </c>
      <c r="I20" s="6">
        <f>[1]!BTC_data[[#This Row],[CandleRange]]/[1]!BTC_data[[#This Row],[open]]</f>
        <v>1.5453195919417444E-3</v>
      </c>
      <c r="J20" s="7">
        <f>ABS([1]!BTC_data[[#This Row],[open]]-[1]!BTC_data[[#This Row],[close]])</f>
        <v>114.5</v>
      </c>
      <c r="K20" s="6">
        <f>[1]!BTC_data[[#This Row],[CandleBody]]/[1]!BTC_data[[#This Row],[open]]</f>
        <v>1.2219550640699321E-3</v>
      </c>
      <c r="L20" s="8">
        <f>IF([1]!BTC_data[[#This Row],[CandleRange]]&gt;0,([1]!BTC_data[[#This Row],[close]]-[1]!BTC_data[[#This Row],[low]])/[1]!BTC_data[[#This Row],[CandleRange]],"")</f>
        <v>0.83287292817681902</v>
      </c>
      <c r="M20" s="8">
        <f>IF([1]!BTC_data[[#This Row],[quote_volume]]&gt;0,[1]!BTC_data[[#This Row],[taker_buy_quote_volume]]/[1]!BTC_data[[#This Row],[quote_volume]],"")</f>
        <v>0.51771863271991059</v>
      </c>
      <c r="N20" t="str" cm="1">
        <f t="array" ref="N20">_xlfn.IFS([1]!BTC_data[[#This Row],[open]]-[1]!BTC_data[[#This Row],[close]]&gt;0,"Bearish",[1]!BTC_data[[#This Row],[open]]-[1]!BTC_data[[#This Row],[close]]&lt;0,"Bullish",TRUE,"Neutral")</f>
        <v>Bullish</v>
      </c>
      <c r="O20" s="8">
        <f>IF([1]!BTC_data[[#This Row],[CandleRange]]&gt;0,[1]!BTC_data[[#This Row],[CandleBody]]/[1]!BTC_data[[#This Row],[CandleRange]],"")</f>
        <v>0.7907458563535753</v>
      </c>
      <c r="P20" s="9" t="str" cm="1">
        <f t="array" ref="P20">_xlfn.IFS([1]!BTC_data[[#This Row],[BodyToRangeRatio]]&gt;=0.7,"Directional",[1]!BTC_data[[#This Row],[BodyToRangeRatio]]&lt;=0.3,"Indecision",TRUE,"Mixed")</f>
        <v>Directional</v>
      </c>
      <c r="Q20" s="9" t="str" cm="1">
        <f t="array" ref="Q20">_xlfn.IFS([1]!BTC_data[[#This Row],[HourUTC]]&lt;8,"Asia",[1]!BTC_data[[#This Row],[HourUTC]]&lt;13,"London",[1]!BTC_data[[#This Row],[HourUTC]]&lt;21,"New York",TRUE,"AfterHours")</f>
        <v>Asia</v>
      </c>
    </row>
    <row r="21" spans="1:17" x14ac:dyDescent="0.3">
      <c r="A21" s="10">
        <v>93750.9</v>
      </c>
      <c r="B21" s="10">
        <v>93771.5</v>
      </c>
      <c r="C21" s="10">
        <v>31351</v>
      </c>
      <c r="D21" s="10">
        <v>33.422984399999997</v>
      </c>
      <c r="E21" s="10">
        <v>368</v>
      </c>
      <c r="F21" s="10">
        <v>3689</v>
      </c>
      <c r="G21" s="10">
        <v>3.9335442</v>
      </c>
      <c r="H21" s="10">
        <f>[1]!BTC_data[[#This Row],[high]]-[1]!BTC_data[[#This Row],[low]]</f>
        <v>71.80000000000291</v>
      </c>
      <c r="I21" s="11">
        <f>[1]!BTC_data[[#This Row],[CandleRange]]/[1]!BTC_data[[#This Row],[open]]</f>
        <v>7.6532134969432885E-4</v>
      </c>
      <c r="J21" s="12">
        <f>ABS([1]!BTC_data[[#This Row],[open]]-[1]!BTC_data[[#This Row],[close]])</f>
        <v>45.30000000000291</v>
      </c>
      <c r="K21" s="11">
        <f>[1]!BTC_data[[#This Row],[CandleBody]]/[1]!BTC_data[[#This Row],[open]]</f>
        <v>4.8285594904114089E-4</v>
      </c>
      <c r="L21" s="13">
        <f>IF([1]!BTC_data[[#This Row],[CandleRange]]&gt;0,([1]!BTC_data[[#This Row],[close]]-[1]!BTC_data[[#This Row],[low]])/[1]!BTC_data[[#This Row],[CandleRange]],"")</f>
        <v>0.28690807799449841</v>
      </c>
      <c r="M21" s="13">
        <f>IF([1]!BTC_data[[#This Row],[quote_volume]]&gt;0,[1]!BTC_data[[#This Row],[taker_buy_quote_volume]]/[1]!BTC_data[[#This Row],[quote_volume]],"")</f>
        <v>0.11768979552885171</v>
      </c>
      <c r="N21" t="str" cm="1">
        <f t="array" ref="N21">_xlfn.IFS([1]!BTC_data[[#This Row],[open]]-[1]!BTC_data[[#This Row],[close]]&gt;0,"Bearish",[1]!BTC_data[[#This Row],[open]]-[1]!BTC_data[[#This Row],[close]]&lt;0,"Bullish",TRUE,"Neutral")</f>
        <v>Bearish</v>
      </c>
      <c r="O21" s="13">
        <f>IF([1]!BTC_data[[#This Row],[CandleRange]]&gt;0,[1]!BTC_data[[#This Row],[CandleBody]]/[1]!BTC_data[[#This Row],[CandleRange]],"")</f>
        <v>0.63091922005572532</v>
      </c>
      <c r="P21" s="9" t="str" cm="1">
        <f t="array" ref="P21">_xlfn.IFS([1]!BTC_data[[#This Row],[BodyToRangeRatio]]&gt;=0.7,"Directional",[1]!BTC_data[[#This Row],[BodyToRangeRatio]]&lt;=0.3,"Indecision",TRUE,"Mixed")</f>
        <v>Mixed</v>
      </c>
      <c r="Q21" s="9" t="str" cm="1">
        <f t="array" ref="Q21">_xlfn.IFS([1]!BTC_data[[#This Row],[HourUTC]]&lt;8,"Asia",[1]!BTC_data[[#This Row],[HourUTC]]&lt;13,"London",[1]!BTC_data[[#This Row],[HourUTC]]&lt;21,"New York",TRUE,"AfterHours")</f>
        <v>Asia</v>
      </c>
    </row>
    <row r="22" spans="1:17" x14ac:dyDescent="0.3">
      <c r="A22" s="5">
        <v>93771.199999999997</v>
      </c>
      <c r="B22" s="5">
        <v>93771.8</v>
      </c>
      <c r="C22" s="5">
        <v>10354</v>
      </c>
      <c r="D22" s="5">
        <v>11.03955466</v>
      </c>
      <c r="E22" s="5">
        <v>253</v>
      </c>
      <c r="F22" s="5">
        <v>6119</v>
      </c>
      <c r="G22" s="5">
        <v>6.5248077899999997</v>
      </c>
      <c r="H22" s="5">
        <f>[1]!BTC_data[[#This Row],[high]]-[1]!BTC_data[[#This Row],[low]]</f>
        <v>50.19999999999709</v>
      </c>
      <c r="I22" s="6">
        <f>[1]!BTC_data[[#This Row],[CandleRange]]/[1]!BTC_data[[#This Row],[open]]</f>
        <v>5.3534503627439408E-4</v>
      </c>
      <c r="J22" s="7">
        <f>ABS([1]!BTC_data[[#This Row],[open]]-[1]!BTC_data[[#This Row],[close]])</f>
        <v>0.5</v>
      </c>
      <c r="K22" s="6">
        <f>[1]!BTC_data[[#This Row],[CandleBody]]/[1]!BTC_data[[#This Row],[open]]</f>
        <v>5.332121875243278E-6</v>
      </c>
      <c r="L22" s="8">
        <f>IF([1]!BTC_data[[#This Row],[CandleRange]]&gt;0,([1]!BTC_data[[#This Row],[close]]-[1]!BTC_data[[#This Row],[low]])/[1]!BTC_data[[#This Row],[CandleRange]],"")</f>
        <v>1.1952191235176405E-2</v>
      </c>
      <c r="M22" s="8">
        <f>IF([1]!BTC_data[[#This Row],[quote_volume]]&gt;0,[1]!BTC_data[[#This Row],[taker_buy_quote_volume]]/[1]!BTC_data[[#This Row],[quote_volume]],"")</f>
        <v>0.59103904015635356</v>
      </c>
      <c r="N22" t="str" cm="1">
        <f t="array" ref="N22">_xlfn.IFS([1]!BTC_data[[#This Row],[open]]-[1]!BTC_data[[#This Row],[close]]&gt;0,"Bearish",[1]!BTC_data[[#This Row],[open]]-[1]!BTC_data[[#This Row],[close]]&lt;0,"Bullish",TRUE,"Neutral")</f>
        <v>Bullish</v>
      </c>
      <c r="O22" s="8">
        <f>IF([1]!BTC_data[[#This Row],[CandleRange]]&gt;0,[1]!BTC_data[[#This Row],[CandleBody]]/[1]!BTC_data[[#This Row],[CandleRange]],"")</f>
        <v>9.9601593625503783E-3</v>
      </c>
      <c r="P22" s="9" t="str" cm="1">
        <f t="array" ref="P22">_xlfn.IFS([1]!BTC_data[[#This Row],[BodyToRangeRatio]]&gt;=0.7,"Directional",[1]!BTC_data[[#This Row],[BodyToRangeRatio]]&lt;=0.3,"Indecision",TRUE,"Mixed")</f>
        <v>Indecision</v>
      </c>
      <c r="Q22" s="9" t="str" cm="1">
        <f t="array" ref="Q22">_xlfn.IFS([1]!BTC_data[[#This Row],[HourUTC]]&lt;8,"Asia",[1]!BTC_data[[#This Row],[HourUTC]]&lt;13,"London",[1]!BTC_data[[#This Row],[HourUTC]]&lt;21,"New York",TRUE,"AfterHours")</f>
        <v>Asia</v>
      </c>
    </row>
    <row r="23" spans="1:17" x14ac:dyDescent="0.3">
      <c r="A23" s="10">
        <v>93668</v>
      </c>
      <c r="B23" s="10">
        <v>93708.6</v>
      </c>
      <c r="C23" s="10">
        <v>12998</v>
      </c>
      <c r="D23" s="10">
        <v>13.868782879999999</v>
      </c>
      <c r="E23" s="10">
        <v>438</v>
      </c>
      <c r="F23" s="10">
        <v>6552</v>
      </c>
      <c r="G23" s="10">
        <v>6.9912761200000002</v>
      </c>
      <c r="H23" s="10">
        <f>[1]!BTC_data[[#This Row],[high]]-[1]!BTC_data[[#This Row],[low]]</f>
        <v>131.89999999999418</v>
      </c>
      <c r="I23" s="11">
        <f>[1]!BTC_data[[#This Row],[CandleRange]]/[1]!BTC_data[[#This Row],[open]]</f>
        <v>1.4066062504931565E-3</v>
      </c>
      <c r="J23" s="12">
        <f>ABS([1]!BTC_data[[#This Row],[open]]-[1]!BTC_data[[#This Row],[close]])</f>
        <v>63.19999999999709</v>
      </c>
      <c r="K23" s="11">
        <f>[1]!BTC_data[[#This Row],[CandleBody]]/[1]!BTC_data[[#This Row],[open]]</f>
        <v>6.7397661130528673E-4</v>
      </c>
      <c r="L23" s="13">
        <f>IF([1]!BTC_data[[#This Row],[CandleRange]]&gt;0,([1]!BTC_data[[#This Row],[close]]-[1]!BTC_data[[#This Row],[low]])/[1]!BTC_data[[#This Row],[CandleRange]],"")</f>
        <v>0.30780894617139964</v>
      </c>
      <c r="M23" s="13">
        <f>IF([1]!BTC_data[[#This Row],[quote_volume]]&gt;0,[1]!BTC_data[[#This Row],[taker_buy_quote_volume]]/[1]!BTC_data[[#This Row],[quote_volume]],"")</f>
        <v>0.50410163462015356</v>
      </c>
      <c r="N23" t="str" cm="1">
        <f t="array" ref="N23">_xlfn.IFS([1]!BTC_data[[#This Row],[open]]-[1]!BTC_data[[#This Row],[close]]&gt;0,"Bearish",[1]!BTC_data[[#This Row],[open]]-[1]!BTC_data[[#This Row],[close]]&lt;0,"Bullish",TRUE,"Neutral")</f>
        <v>Bearish</v>
      </c>
      <c r="O23" s="13">
        <f>IF([1]!BTC_data[[#This Row],[CandleRange]]&gt;0,[1]!BTC_data[[#This Row],[CandleBody]]/[1]!BTC_data[[#This Row],[CandleRange]],"")</f>
        <v>0.47915087187262984</v>
      </c>
      <c r="P23" s="9" t="str" cm="1">
        <f t="array" ref="P23">_xlfn.IFS([1]!BTC_data[[#This Row],[BodyToRangeRatio]]&gt;=0.7,"Directional",[1]!BTC_data[[#This Row],[BodyToRangeRatio]]&lt;=0.3,"Indecision",TRUE,"Mixed")</f>
        <v>Mixed</v>
      </c>
      <c r="Q23" s="9" t="str" cm="1">
        <f t="array" ref="Q23">_xlfn.IFS([1]!BTC_data[[#This Row],[HourUTC]]&lt;8,"Asia",[1]!BTC_data[[#This Row],[HourUTC]]&lt;13,"London",[1]!BTC_data[[#This Row],[HourUTC]]&lt;21,"New York",TRUE,"AfterHours")</f>
        <v>Asia</v>
      </c>
    </row>
    <row r="24" spans="1:17" x14ac:dyDescent="0.3">
      <c r="A24" s="5">
        <v>93439.1</v>
      </c>
      <c r="B24" s="5">
        <v>93474.5</v>
      </c>
      <c r="C24" s="5">
        <v>90709</v>
      </c>
      <c r="D24" s="5">
        <v>96.975128229999996</v>
      </c>
      <c r="E24" s="5">
        <v>1365</v>
      </c>
      <c r="F24" s="5">
        <v>22465</v>
      </c>
      <c r="G24" s="5">
        <v>24.022695070000001</v>
      </c>
      <c r="H24" s="5">
        <f>[1]!BTC_data[[#This Row],[high]]-[1]!BTC_data[[#This Row],[low]]</f>
        <v>269.5</v>
      </c>
      <c r="I24" s="6">
        <f>[1]!BTC_data[[#This Row],[CandleRange]]/[1]!BTC_data[[#This Row],[open]]</f>
        <v>2.8759366803046888E-3</v>
      </c>
      <c r="J24" s="7">
        <f>ABS([1]!BTC_data[[#This Row],[open]]-[1]!BTC_data[[#This Row],[close]])</f>
        <v>234.10000000000582</v>
      </c>
      <c r="K24" s="6">
        <f>[1]!BTC_data[[#This Row],[CandleBody]]/[1]!BTC_data[[#This Row],[open]]</f>
        <v>2.4981698584762317E-3</v>
      </c>
      <c r="L24" s="8">
        <f>IF([1]!BTC_data[[#This Row],[CandleRange]]&gt;0,([1]!BTC_data[[#This Row],[close]]-[1]!BTC_data[[#This Row],[low]])/[1]!BTC_data[[#This Row],[CandleRange]],"")</f>
        <v>0.13135435992576691</v>
      </c>
      <c r="M24" s="8">
        <f>IF([1]!BTC_data[[#This Row],[quote_volume]]&gt;0,[1]!BTC_data[[#This Row],[taker_buy_quote_volume]]/[1]!BTC_data[[#This Row],[quote_volume]],"")</f>
        <v>0.24772016813449696</v>
      </c>
      <c r="N24" t="str" cm="1">
        <f t="array" ref="N24">_xlfn.IFS([1]!BTC_data[[#This Row],[open]]-[1]!BTC_data[[#This Row],[close]]&gt;0,"Bearish",[1]!BTC_data[[#This Row],[open]]-[1]!BTC_data[[#This Row],[close]]&lt;0,"Bullish",TRUE,"Neutral")</f>
        <v>Bearish</v>
      </c>
      <c r="O24" s="8">
        <f>IF([1]!BTC_data[[#This Row],[CandleRange]]&gt;0,[1]!BTC_data[[#This Row],[CandleBody]]/[1]!BTC_data[[#This Row],[CandleRange]],"")</f>
        <v>0.86864564007423306</v>
      </c>
      <c r="P24" s="9" t="str" cm="1">
        <f t="array" ref="P24">_xlfn.IFS([1]!BTC_data[[#This Row],[BodyToRangeRatio]]&gt;=0.7,"Directional",[1]!BTC_data[[#This Row],[BodyToRangeRatio]]&lt;=0.3,"Indecision",TRUE,"Mixed")</f>
        <v>Directional</v>
      </c>
      <c r="Q24" s="9" t="str" cm="1">
        <f t="array" ref="Q24">_xlfn.IFS([1]!BTC_data[[#This Row],[HourUTC]]&lt;8,"Asia",[1]!BTC_data[[#This Row],[HourUTC]]&lt;13,"London",[1]!BTC_data[[#This Row],[HourUTC]]&lt;21,"New York",TRUE,"AfterHours")</f>
        <v>Asia</v>
      </c>
    </row>
    <row r="25" spans="1:17" x14ac:dyDescent="0.3">
      <c r="A25" s="10">
        <v>93432.8</v>
      </c>
      <c r="B25" s="10">
        <v>93455</v>
      </c>
      <c r="C25" s="10">
        <v>24881</v>
      </c>
      <c r="D25" s="10">
        <v>26.620171639999999</v>
      </c>
      <c r="E25" s="10">
        <v>422</v>
      </c>
      <c r="F25" s="10">
        <v>10395</v>
      </c>
      <c r="G25" s="10">
        <v>11.12126971</v>
      </c>
      <c r="H25" s="10">
        <f>[1]!BTC_data[[#This Row],[high]]-[1]!BTC_data[[#This Row],[low]]</f>
        <v>58.80000000000291</v>
      </c>
      <c r="I25" s="11">
        <f>[1]!BTC_data[[#This Row],[CandleRange]]/[1]!BTC_data[[#This Row],[open]]</f>
        <v>6.290485640469102E-4</v>
      </c>
      <c r="J25" s="12">
        <f>ABS([1]!BTC_data[[#This Row],[open]]-[1]!BTC_data[[#This Row],[close]])</f>
        <v>19.5</v>
      </c>
      <c r="K25" s="11">
        <f>[1]!BTC_data[[#This Row],[CandleBody]]/[1]!BTC_data[[#This Row],[open]]</f>
        <v>2.0861304419922012E-4</v>
      </c>
      <c r="L25" s="13">
        <f>IF([1]!BTC_data[[#This Row],[CandleRange]]&gt;0,([1]!BTC_data[[#This Row],[close]]-[1]!BTC_data[[#This Row],[low]])/[1]!BTC_data[[#This Row],[CandleRange]],"")</f>
        <v>0.37755102040809507</v>
      </c>
      <c r="M25" s="13">
        <f>IF([1]!BTC_data[[#This Row],[quote_volume]]&gt;0,[1]!BTC_data[[#This Row],[taker_buy_quote_volume]]/[1]!BTC_data[[#This Row],[quote_volume]],"")</f>
        <v>0.41777603316760586</v>
      </c>
      <c r="N25" t="str" cm="1">
        <f t="array" ref="N25">_xlfn.IFS([1]!BTC_data[[#This Row],[open]]-[1]!BTC_data[[#This Row],[close]]&gt;0,"Bearish",[1]!BTC_data[[#This Row],[open]]-[1]!BTC_data[[#This Row],[close]]&lt;0,"Bullish",TRUE,"Neutral")</f>
        <v>Bearish</v>
      </c>
      <c r="O25" s="13">
        <f>IF([1]!BTC_data[[#This Row],[CandleRange]]&gt;0,[1]!BTC_data[[#This Row],[CandleBody]]/[1]!BTC_data[[#This Row],[CandleRange]],"")</f>
        <v>0.33163265306120809</v>
      </c>
      <c r="P25" s="9" t="str" cm="1">
        <f t="array" ref="P25">_xlfn.IFS([1]!BTC_data[[#This Row],[BodyToRangeRatio]]&gt;=0.7,"Directional",[1]!BTC_data[[#This Row],[BodyToRangeRatio]]&lt;=0.3,"Indecision",TRUE,"Mixed")</f>
        <v>Mixed</v>
      </c>
      <c r="Q25" s="9" t="str" cm="1">
        <f t="array" ref="Q25">_xlfn.IFS([1]!BTC_data[[#This Row],[HourUTC]]&lt;8,"Asia",[1]!BTC_data[[#This Row],[HourUTC]]&lt;13,"London",[1]!BTC_data[[#This Row],[HourUTC]]&lt;21,"New York",TRUE,"AfterHours")</f>
        <v>Asia</v>
      </c>
    </row>
    <row r="26" spans="1:17" x14ac:dyDescent="0.3">
      <c r="A26" s="5">
        <v>93436.4</v>
      </c>
      <c r="B26" s="5">
        <v>93606.3</v>
      </c>
      <c r="C26" s="5">
        <v>42774</v>
      </c>
      <c r="D26" s="5">
        <v>45.737603729999996</v>
      </c>
      <c r="E26" s="5">
        <v>757</v>
      </c>
      <c r="F26" s="5">
        <v>20153</v>
      </c>
      <c r="G26" s="5">
        <v>21.549478539999999</v>
      </c>
      <c r="H26" s="5">
        <f>[1]!BTC_data[[#This Row],[high]]-[1]!BTC_data[[#This Row],[low]]</f>
        <v>198.40000000000873</v>
      </c>
      <c r="I26" s="6">
        <f>[1]!BTC_data[[#This Row],[CandleRange]]/[1]!BTC_data[[#This Row],[open]]</f>
        <v>2.1229468728265876E-3</v>
      </c>
      <c r="J26" s="7">
        <f>ABS([1]!BTC_data[[#This Row],[open]]-[1]!BTC_data[[#This Row],[close]])</f>
        <v>151.30000000000291</v>
      </c>
      <c r="K26" s="6">
        <f>[1]!BTC_data[[#This Row],[CandleBody]]/[1]!BTC_data[[#This Row],[open]]</f>
        <v>1.6189609972714451E-3</v>
      </c>
      <c r="L26" s="8">
        <f>IF([1]!BTC_data[[#This Row],[CandleRange]]&gt;0,([1]!BTC_data[[#This Row],[close]]-[1]!BTC_data[[#This Row],[low]])/[1]!BTC_data[[#This Row],[CandleRange]],"")</f>
        <v>0.85635080645161921</v>
      </c>
      <c r="M26" s="8">
        <f>IF([1]!BTC_data[[#This Row],[quote_volume]]&gt;0,[1]!BTC_data[[#This Row],[taker_buy_quote_volume]]/[1]!BTC_data[[#This Row],[quote_volume]],"")</f>
        <v>0.47115451581617002</v>
      </c>
      <c r="N26" t="str" cm="1">
        <f t="array" ref="N26">_xlfn.IFS([1]!BTC_data[[#This Row],[open]]-[1]!BTC_data[[#This Row],[close]]&gt;0,"Bearish",[1]!BTC_data[[#This Row],[open]]-[1]!BTC_data[[#This Row],[close]]&lt;0,"Bullish",TRUE,"Neutral")</f>
        <v>Bullish</v>
      </c>
      <c r="O26" s="8">
        <f>IF([1]!BTC_data[[#This Row],[CandleRange]]&gt;0,[1]!BTC_data[[#This Row],[CandleBody]]/[1]!BTC_data[[#This Row],[CandleRange]],"")</f>
        <v>0.762600806451594</v>
      </c>
      <c r="P26" s="9" t="str" cm="1">
        <f t="array" ref="P26">_xlfn.IFS([1]!BTC_data[[#This Row],[BodyToRangeRatio]]&gt;=0.7,"Directional",[1]!BTC_data[[#This Row],[BodyToRangeRatio]]&lt;=0.3,"Indecision",TRUE,"Mixed")</f>
        <v>Directional</v>
      </c>
      <c r="Q26" s="9" t="str" cm="1">
        <f t="array" ref="Q26">_xlfn.IFS([1]!BTC_data[[#This Row],[HourUTC]]&lt;8,"Asia",[1]!BTC_data[[#This Row],[HourUTC]]&lt;13,"London",[1]!BTC_data[[#This Row],[HourUTC]]&lt;21,"New York",TRUE,"AfterHours")</f>
        <v>Asia</v>
      </c>
    </row>
    <row r="27" spans="1:17" x14ac:dyDescent="0.3">
      <c r="A27" s="10">
        <v>93518.9</v>
      </c>
      <c r="B27" s="10">
        <v>93535</v>
      </c>
      <c r="C27" s="10">
        <v>30201</v>
      </c>
      <c r="D27" s="10">
        <v>32.273454860000001</v>
      </c>
      <c r="E27" s="10">
        <v>534</v>
      </c>
      <c r="F27" s="10">
        <v>15935</v>
      </c>
      <c r="G27" s="10">
        <v>17.031182869999999</v>
      </c>
      <c r="H27" s="10">
        <f>[1]!BTC_data[[#This Row],[high]]-[1]!BTC_data[[#This Row],[low]]</f>
        <v>110.60000000000582</v>
      </c>
      <c r="I27" s="11">
        <f>[1]!BTC_data[[#This Row],[CandleRange]]/[1]!BTC_data[[#This Row],[open]]</f>
        <v>1.1815444045967613E-3</v>
      </c>
      <c r="J27" s="12">
        <f>ABS([1]!BTC_data[[#This Row],[open]]-[1]!BTC_data[[#This Row],[close]])</f>
        <v>71.30000000000291</v>
      </c>
      <c r="K27" s="11">
        <f>[1]!BTC_data[[#This Row],[CandleBody]]/[1]!BTC_data[[#This Row],[open]]</f>
        <v>7.6170086842448546E-4</v>
      </c>
      <c r="L27" s="13">
        <f>IF([1]!BTC_data[[#This Row],[CandleRange]]&gt;0,([1]!BTC_data[[#This Row],[close]]-[1]!BTC_data[[#This Row],[low]])/[1]!BTC_data[[#This Row],[CandleRange]],"")</f>
        <v>0.14556962025320952</v>
      </c>
      <c r="M27" s="13">
        <f>IF([1]!BTC_data[[#This Row],[quote_volume]]&gt;0,[1]!BTC_data[[#This Row],[taker_buy_quote_volume]]/[1]!BTC_data[[#This Row],[quote_volume]],"")</f>
        <v>0.5277148958449005</v>
      </c>
      <c r="N27" t="str" cm="1">
        <f t="array" ref="N27">_xlfn.IFS([1]!BTC_data[[#This Row],[open]]-[1]!BTC_data[[#This Row],[close]]&gt;0,"Bearish",[1]!BTC_data[[#This Row],[open]]-[1]!BTC_data[[#This Row],[close]]&lt;0,"Bullish",TRUE,"Neutral")</f>
        <v>Bearish</v>
      </c>
      <c r="O27" s="13">
        <f>IF([1]!BTC_data[[#This Row],[CandleRange]]&gt;0,[1]!BTC_data[[#This Row],[CandleBody]]/[1]!BTC_data[[#This Row],[CandleRange]],"")</f>
        <v>0.64466546112114975</v>
      </c>
      <c r="P27" s="9" t="str" cm="1">
        <f t="array" ref="P27">_xlfn.IFS([1]!BTC_data[[#This Row],[BodyToRangeRatio]]&gt;=0.7,"Directional",[1]!BTC_data[[#This Row],[BodyToRangeRatio]]&lt;=0.3,"Indecision",TRUE,"Mixed")</f>
        <v>Mixed</v>
      </c>
      <c r="Q27" s="9" t="str" cm="1">
        <f t="array" ref="Q27">_xlfn.IFS([1]!BTC_data[[#This Row],[HourUTC]]&lt;8,"Asia",[1]!BTC_data[[#This Row],[HourUTC]]&lt;13,"London",[1]!BTC_data[[#This Row],[HourUTC]]&lt;21,"New York",TRUE,"AfterHours")</f>
        <v>Asia</v>
      </c>
    </row>
    <row r="28" spans="1:17" x14ac:dyDescent="0.3">
      <c r="A28" s="5">
        <v>93516.2</v>
      </c>
      <c r="B28" s="5">
        <v>93647.9</v>
      </c>
      <c r="C28" s="5">
        <v>43668</v>
      </c>
      <c r="D28" s="5">
        <v>46.665685099999997</v>
      </c>
      <c r="E28" s="5">
        <v>608</v>
      </c>
      <c r="F28" s="5">
        <v>33238</v>
      </c>
      <c r="G28" s="5">
        <v>35.520870309999999</v>
      </c>
      <c r="H28" s="5">
        <f>[1]!BTC_data[[#This Row],[high]]-[1]!BTC_data[[#This Row],[low]]</f>
        <v>145.19999999999709</v>
      </c>
      <c r="I28" s="6">
        <f>[1]!BTC_data[[#This Row],[CandleRange]]/[1]!BTC_data[[#This Row],[open]]</f>
        <v>1.5523617387734109E-3</v>
      </c>
      <c r="J28" s="7">
        <f>ABS([1]!BTC_data[[#This Row],[open]]-[1]!BTC_data[[#This Row],[close]])</f>
        <v>113</v>
      </c>
      <c r="K28" s="6">
        <f>[1]!BTC_data[[#This Row],[CandleBody]]/[1]!BTC_data[[#This Row],[open]]</f>
        <v>1.20810520992699E-3</v>
      </c>
      <c r="L28" s="8">
        <f>IF([1]!BTC_data[[#This Row],[CandleRange]]&gt;0,([1]!BTC_data[[#This Row],[close]]-[1]!BTC_data[[#This Row],[low]])/[1]!BTC_data[[#This Row],[CandleRange]],"")</f>
        <v>0.9070247933884279</v>
      </c>
      <c r="M28" s="8">
        <f>IF([1]!BTC_data[[#This Row],[quote_volume]]&gt;0,[1]!BTC_data[[#This Row],[taker_buy_quote_volume]]/[1]!BTC_data[[#This Row],[quote_volume]],"")</f>
        <v>0.76117751692452917</v>
      </c>
      <c r="N28" t="str" cm="1">
        <f t="array" ref="N28">_xlfn.IFS([1]!BTC_data[[#This Row],[open]]-[1]!BTC_data[[#This Row],[close]]&gt;0,"Bearish",[1]!BTC_data[[#This Row],[open]]-[1]!BTC_data[[#This Row],[close]]&lt;0,"Bullish",TRUE,"Neutral")</f>
        <v>Bullish</v>
      </c>
      <c r="O28" s="8">
        <f>IF([1]!BTC_data[[#This Row],[CandleRange]]&gt;0,[1]!BTC_data[[#This Row],[CandleBody]]/[1]!BTC_data[[#This Row],[CandleRange]],"")</f>
        <v>0.77823691460056654</v>
      </c>
      <c r="P28" s="9" t="str" cm="1">
        <f t="array" ref="P28">_xlfn.IFS([1]!BTC_data[[#This Row],[BodyToRangeRatio]]&gt;=0.7,"Directional",[1]!BTC_data[[#This Row],[BodyToRangeRatio]]&lt;=0.3,"Indecision",TRUE,"Mixed")</f>
        <v>Directional</v>
      </c>
      <c r="Q28" s="9" t="str" cm="1">
        <f t="array" ref="Q28">_xlfn.IFS([1]!BTC_data[[#This Row],[HourUTC]]&lt;8,"Asia",[1]!BTC_data[[#This Row],[HourUTC]]&lt;13,"London",[1]!BTC_data[[#This Row],[HourUTC]]&lt;21,"New York",TRUE,"AfterHours")</f>
        <v>Asia</v>
      </c>
    </row>
    <row r="29" spans="1:17" x14ac:dyDescent="0.3">
      <c r="A29" s="10">
        <v>93550.2</v>
      </c>
      <c r="B29" s="10">
        <v>93623.2</v>
      </c>
      <c r="C29" s="10">
        <v>39740</v>
      </c>
      <c r="D29" s="10">
        <v>42.46224977</v>
      </c>
      <c r="E29" s="10">
        <v>626</v>
      </c>
      <c r="F29" s="10">
        <v>29013</v>
      </c>
      <c r="G29" s="10">
        <v>31.003179840000001</v>
      </c>
      <c r="H29" s="10">
        <f>[1]!BTC_data[[#This Row],[high]]-[1]!BTC_data[[#This Row],[low]]</f>
        <v>104.19999999999709</v>
      </c>
      <c r="I29" s="11">
        <f>[1]!BTC_data[[#This Row],[CandleRange]]/[1]!BTC_data[[#This Row],[open]]</f>
        <v>1.1126784476747167E-3</v>
      </c>
      <c r="J29" s="12">
        <f>ABS([1]!BTC_data[[#This Row],[open]]-[1]!BTC_data[[#This Row],[close]])</f>
        <v>24.69999999999709</v>
      </c>
      <c r="K29" s="11">
        <f>[1]!BTC_data[[#This Row],[CandleBody]]/[1]!BTC_data[[#This Row],[open]]</f>
        <v>2.6375391226068169E-4</v>
      </c>
      <c r="L29" s="13">
        <f>IF([1]!BTC_data[[#This Row],[CandleRange]]&gt;0,([1]!BTC_data[[#This Row],[close]]-[1]!BTC_data[[#This Row],[low]])/[1]!BTC_data[[#This Row],[CandleRange]],"")</f>
        <v>0.70057581573898309</v>
      </c>
      <c r="M29" s="13">
        <f>IF([1]!BTC_data[[#This Row],[quote_volume]]&gt;0,[1]!BTC_data[[#This Row],[taker_buy_quote_volume]]/[1]!BTC_data[[#This Row],[quote_volume]],"")</f>
        <v>0.73013512020514881</v>
      </c>
      <c r="N29" t="str" cm="1">
        <f t="array" ref="N29">_xlfn.IFS([1]!BTC_data[[#This Row],[open]]-[1]!BTC_data[[#This Row],[close]]&gt;0,"Bearish",[1]!BTC_data[[#This Row],[open]]-[1]!BTC_data[[#This Row],[close]]&lt;0,"Bullish",TRUE,"Neutral")</f>
        <v>Bearish</v>
      </c>
      <c r="O29" s="13">
        <f>IF([1]!BTC_data[[#This Row],[CandleRange]]&gt;0,[1]!BTC_data[[#This Row],[CandleBody]]/[1]!BTC_data[[#This Row],[CandleRange]],"")</f>
        <v>0.23704414587329922</v>
      </c>
      <c r="P29" s="9" t="str" cm="1">
        <f t="array" ref="P29">_xlfn.IFS([1]!BTC_data[[#This Row],[BodyToRangeRatio]]&gt;=0.7,"Directional",[1]!BTC_data[[#This Row],[BodyToRangeRatio]]&lt;=0.3,"Indecision",TRUE,"Mixed")</f>
        <v>Indecision</v>
      </c>
      <c r="Q29" s="9" t="str" cm="1">
        <f t="array" ref="Q29">_xlfn.IFS([1]!BTC_data[[#This Row],[HourUTC]]&lt;8,"Asia",[1]!BTC_data[[#This Row],[HourUTC]]&lt;13,"London",[1]!BTC_data[[#This Row],[HourUTC]]&lt;21,"New York",TRUE,"AfterHours")</f>
        <v>Asia</v>
      </c>
    </row>
    <row r="30" spans="1:17" x14ac:dyDescent="0.3">
      <c r="A30" s="5">
        <v>93557.7</v>
      </c>
      <c r="B30" s="5">
        <v>93577.600000000006</v>
      </c>
      <c r="C30" s="5">
        <v>9038</v>
      </c>
      <c r="D30" s="5">
        <v>9.6572611899999998</v>
      </c>
      <c r="E30" s="5">
        <v>267</v>
      </c>
      <c r="F30" s="5">
        <v>4679</v>
      </c>
      <c r="G30" s="5">
        <v>5.0002325299999999</v>
      </c>
      <c r="H30" s="5">
        <f>[1]!BTC_data[[#This Row],[high]]-[1]!BTC_data[[#This Row],[low]]</f>
        <v>75.5</v>
      </c>
      <c r="I30" s="6">
        <f>[1]!BTC_data[[#This Row],[CandleRange]]/[1]!BTC_data[[#This Row],[open]]</f>
        <v>8.0642318739031845E-4</v>
      </c>
      <c r="J30" s="7">
        <f>ABS([1]!BTC_data[[#This Row],[open]]-[1]!BTC_data[[#This Row],[close]])</f>
        <v>45.69999999999709</v>
      </c>
      <c r="K30" s="6">
        <f>[1]!BTC_data[[#This Row],[CandleBody]]/[1]!BTC_data[[#This Row],[open]]</f>
        <v>4.8812635316205567E-4</v>
      </c>
      <c r="L30" s="8">
        <f>IF([1]!BTC_data[[#This Row],[CandleRange]]&gt;0,([1]!BTC_data[[#This Row],[close]]-[1]!BTC_data[[#This Row],[low]])/[1]!BTC_data[[#This Row],[CandleRange]],"")</f>
        <v>0.26357615894051301</v>
      </c>
      <c r="M30" s="8">
        <f>IF([1]!BTC_data[[#This Row],[quote_volume]]&gt;0,[1]!BTC_data[[#This Row],[taker_buy_quote_volume]]/[1]!BTC_data[[#This Row],[quote_volume]],"")</f>
        <v>0.51776921340573168</v>
      </c>
      <c r="N30" t="str" cm="1">
        <f t="array" ref="N30">_xlfn.IFS([1]!BTC_data[[#This Row],[open]]-[1]!BTC_data[[#This Row],[close]]&gt;0,"Bearish",[1]!BTC_data[[#This Row],[open]]-[1]!BTC_data[[#This Row],[close]]&lt;0,"Bullish",TRUE,"Neutral")</f>
        <v>Bearish</v>
      </c>
      <c r="O30" s="8">
        <f>IF([1]!BTC_data[[#This Row],[CandleRange]]&gt;0,[1]!BTC_data[[#This Row],[CandleBody]]/[1]!BTC_data[[#This Row],[CandleRange]],"")</f>
        <v>0.60529801324499455</v>
      </c>
      <c r="P30" s="9" t="str" cm="1">
        <f t="array" ref="P30">_xlfn.IFS([1]!BTC_data[[#This Row],[BodyToRangeRatio]]&gt;=0.7,"Directional",[1]!BTC_data[[#This Row],[BodyToRangeRatio]]&lt;=0.3,"Indecision",TRUE,"Mixed")</f>
        <v>Mixed</v>
      </c>
      <c r="Q30" s="9" t="str" cm="1">
        <f t="array" ref="Q30">_xlfn.IFS([1]!BTC_data[[#This Row],[HourUTC]]&lt;8,"Asia",[1]!BTC_data[[#This Row],[HourUTC]]&lt;13,"London",[1]!BTC_data[[#This Row],[HourUTC]]&lt;21,"New York",TRUE,"AfterHours")</f>
        <v>Asia</v>
      </c>
    </row>
    <row r="31" spans="1:17" x14ac:dyDescent="0.3">
      <c r="A31" s="10">
        <v>93554.7</v>
      </c>
      <c r="B31" s="10">
        <v>93599.3</v>
      </c>
      <c r="C31" s="10">
        <v>9593</v>
      </c>
      <c r="D31" s="10">
        <v>10.25218018</v>
      </c>
      <c r="E31" s="10">
        <v>175</v>
      </c>
      <c r="F31" s="10">
        <v>5821</v>
      </c>
      <c r="G31" s="10">
        <v>6.2210307800000004</v>
      </c>
      <c r="H31" s="10">
        <f>[1]!BTC_data[[#This Row],[high]]-[1]!BTC_data[[#This Row],[low]]</f>
        <v>44.600000000005821</v>
      </c>
      <c r="I31" s="11">
        <f>[1]!BTC_data[[#This Row],[CandleRange]]/[1]!BTC_data[[#This Row],[open]]</f>
        <v>4.7660978695762468E-4</v>
      </c>
      <c r="J31" s="12">
        <f>ABS([1]!BTC_data[[#This Row],[open]]-[1]!BTC_data[[#This Row],[close]])</f>
        <v>21.69999999999709</v>
      </c>
      <c r="K31" s="11">
        <f>[1]!BTC_data[[#This Row],[CandleBody]]/[1]!BTC_data[[#This Row],[open]]</f>
        <v>2.318931026228188E-4</v>
      </c>
      <c r="L31" s="13">
        <f>IF([1]!BTC_data[[#This Row],[CandleRange]]&gt;0,([1]!BTC_data[[#This Row],[close]]-[1]!BTC_data[[#This Row],[low]])/[1]!BTC_data[[#This Row],[CandleRange]],"")</f>
        <v>1</v>
      </c>
      <c r="M31" s="13">
        <f>IF([1]!BTC_data[[#This Row],[quote_volume]]&gt;0,[1]!BTC_data[[#This Row],[taker_buy_quote_volume]]/[1]!BTC_data[[#This Row],[quote_volume]],"")</f>
        <v>0.6068007653763261</v>
      </c>
      <c r="N31" t="str" cm="1">
        <f t="array" ref="N31">_xlfn.IFS([1]!BTC_data[[#This Row],[open]]-[1]!BTC_data[[#This Row],[close]]&gt;0,"Bearish",[1]!BTC_data[[#This Row],[open]]-[1]!BTC_data[[#This Row],[close]]&lt;0,"Bullish",TRUE,"Neutral")</f>
        <v>Bullish</v>
      </c>
      <c r="O31" s="13">
        <f>IF([1]!BTC_data[[#This Row],[CandleRange]]&gt;0,[1]!BTC_data[[#This Row],[CandleBody]]/[1]!BTC_data[[#This Row],[CandleRange]],"")</f>
        <v>0.48654708520166495</v>
      </c>
      <c r="P31" s="9" t="str" cm="1">
        <f t="array" ref="P31">_xlfn.IFS([1]!BTC_data[[#This Row],[BodyToRangeRatio]]&gt;=0.7,"Directional",[1]!BTC_data[[#This Row],[BodyToRangeRatio]]&lt;=0.3,"Indecision",TRUE,"Mixed")</f>
        <v>Mixed</v>
      </c>
      <c r="Q31" s="9" t="str" cm="1">
        <f t="array" ref="Q31">_xlfn.IFS([1]!BTC_data[[#This Row],[HourUTC]]&lt;8,"Asia",[1]!BTC_data[[#This Row],[HourUTC]]&lt;13,"London",[1]!BTC_data[[#This Row],[HourUTC]]&lt;21,"New York",TRUE,"AfterHours")</f>
        <v>Asia</v>
      </c>
    </row>
    <row r="32" spans="1:17" x14ac:dyDescent="0.3">
      <c r="A32" s="5">
        <v>93599.3</v>
      </c>
      <c r="B32" s="5">
        <v>93643.9</v>
      </c>
      <c r="C32" s="5">
        <v>17859</v>
      </c>
      <c r="D32" s="5">
        <v>19.073758990000002</v>
      </c>
      <c r="E32" s="5">
        <v>397</v>
      </c>
      <c r="F32" s="5">
        <v>12169</v>
      </c>
      <c r="G32" s="5">
        <v>12.99740282</v>
      </c>
      <c r="H32" s="5">
        <f>[1]!BTC_data[[#This Row],[high]]-[1]!BTC_data[[#This Row],[low]]</f>
        <v>61.69999999999709</v>
      </c>
      <c r="I32" s="6">
        <f>[1]!BTC_data[[#This Row],[CandleRange]]/[1]!BTC_data[[#This Row],[open]]</f>
        <v>6.5919085124292287E-4</v>
      </c>
      <c r="J32" s="7">
        <f>ABS([1]!BTC_data[[#This Row],[open]]-[1]!BTC_data[[#This Row],[close]])</f>
        <v>44.299999999988358</v>
      </c>
      <c r="K32" s="6">
        <f>[1]!BTC_data[[#This Row],[CandleBody]]/[1]!BTC_data[[#This Row],[open]]</f>
        <v>4.7329262090851194E-4</v>
      </c>
      <c r="L32" s="8">
        <f>IF([1]!BTC_data[[#This Row],[CandleRange]]&gt;0,([1]!BTC_data[[#This Row],[close]]-[1]!BTC_data[[#This Row],[low]])/[1]!BTC_data[[#This Row],[CandleRange]],"")</f>
        <v>0.72285251215548418</v>
      </c>
      <c r="M32" s="8">
        <f>IF([1]!BTC_data[[#This Row],[quote_volume]]&gt;0,[1]!BTC_data[[#This Row],[taker_buy_quote_volume]]/[1]!BTC_data[[#This Row],[quote_volume]],"")</f>
        <v>0.68142849172070818</v>
      </c>
      <c r="N32" t="str" cm="1">
        <f t="array" ref="N32">_xlfn.IFS([1]!BTC_data[[#This Row],[open]]-[1]!BTC_data[[#This Row],[close]]&gt;0,"Bearish",[1]!BTC_data[[#This Row],[open]]-[1]!BTC_data[[#This Row],[close]]&lt;0,"Bullish",TRUE,"Neutral")</f>
        <v>Bullish</v>
      </c>
      <c r="O32" s="8">
        <f>IF([1]!BTC_data[[#This Row],[CandleRange]]&gt;0,[1]!BTC_data[[#This Row],[CandleBody]]/[1]!BTC_data[[#This Row],[CandleRange]],"")</f>
        <v>0.71799027552658745</v>
      </c>
      <c r="P32" s="9" t="str" cm="1">
        <f t="array" ref="P32">_xlfn.IFS([1]!BTC_data[[#This Row],[BodyToRangeRatio]]&gt;=0.7,"Directional",[1]!BTC_data[[#This Row],[BodyToRangeRatio]]&lt;=0.3,"Indecision",TRUE,"Mixed")</f>
        <v>Directional</v>
      </c>
      <c r="Q32" s="9" t="str" cm="1">
        <f t="array" ref="Q32">_xlfn.IFS([1]!BTC_data[[#This Row],[HourUTC]]&lt;8,"Asia",[1]!BTC_data[[#This Row],[HourUTC]]&lt;13,"London",[1]!BTC_data[[#This Row],[HourUTC]]&lt;21,"New York",TRUE,"AfterHours")</f>
        <v>Asia</v>
      </c>
    </row>
    <row r="33" spans="1:17" x14ac:dyDescent="0.3">
      <c r="A33" s="10">
        <v>93628</v>
      </c>
      <c r="B33" s="10">
        <v>93736</v>
      </c>
      <c r="C33" s="10">
        <v>9225</v>
      </c>
      <c r="D33" s="10">
        <v>9.8450205999999998</v>
      </c>
      <c r="E33" s="10">
        <v>394</v>
      </c>
      <c r="F33" s="10">
        <v>6411</v>
      </c>
      <c r="G33" s="10">
        <v>6.8418347099999997</v>
      </c>
      <c r="H33" s="10">
        <f>[1]!BTC_data[[#This Row],[high]]-[1]!BTC_data[[#This Row],[low]]</f>
        <v>115.19999999999709</v>
      </c>
      <c r="I33" s="11">
        <f>[1]!BTC_data[[#This Row],[CandleRange]]/[1]!BTC_data[[#This Row],[open]]</f>
        <v>1.2301922495752216E-3</v>
      </c>
      <c r="J33" s="12">
        <f>ABS([1]!BTC_data[[#This Row],[open]]-[1]!BTC_data[[#This Row],[close]])</f>
        <v>92.100000000005821</v>
      </c>
      <c r="K33" s="11">
        <f>[1]!BTC_data[[#This Row],[CandleBody]]/[1]!BTC_data[[#This Row],[open]]</f>
        <v>9.8351307453027723E-4</v>
      </c>
      <c r="L33" s="13">
        <f>IF([1]!BTC_data[[#This Row],[CandleRange]]&gt;0,([1]!BTC_data[[#This Row],[close]]-[1]!BTC_data[[#This Row],[low]])/[1]!BTC_data[[#This Row],[CandleRange]],"")</f>
        <v>0.93750000000002365</v>
      </c>
      <c r="M33" s="13">
        <f>IF([1]!BTC_data[[#This Row],[quote_volume]]&gt;0,[1]!BTC_data[[#This Row],[taker_buy_quote_volume]]/[1]!BTC_data[[#This Row],[quote_volume]],"")</f>
        <v>0.69495382366188241</v>
      </c>
      <c r="N33" t="str" cm="1">
        <f t="array" ref="N33">_xlfn.IFS([1]!BTC_data[[#This Row],[open]]-[1]!BTC_data[[#This Row],[close]]&gt;0,"Bearish",[1]!BTC_data[[#This Row],[open]]-[1]!BTC_data[[#This Row],[close]]&lt;0,"Bullish",TRUE,"Neutral")</f>
        <v>Bullish</v>
      </c>
      <c r="O33" s="13">
        <f>IF([1]!BTC_data[[#This Row],[CandleRange]]&gt;0,[1]!BTC_data[[#This Row],[CandleBody]]/[1]!BTC_data[[#This Row],[CandleRange]],"")</f>
        <v>0.79947916666673735</v>
      </c>
      <c r="P33" s="9" t="str" cm="1">
        <f t="array" ref="P33">_xlfn.IFS([1]!BTC_data[[#This Row],[BodyToRangeRatio]]&gt;=0.7,"Directional",[1]!BTC_data[[#This Row],[BodyToRangeRatio]]&lt;=0.3,"Indecision",TRUE,"Mixed")</f>
        <v>Directional</v>
      </c>
      <c r="Q33" s="9" t="str" cm="1">
        <f t="array" ref="Q33">_xlfn.IFS([1]!BTC_data[[#This Row],[HourUTC]]&lt;8,"Asia",[1]!BTC_data[[#This Row],[HourUTC]]&lt;13,"London",[1]!BTC_data[[#This Row],[HourUTC]]&lt;21,"New York",TRUE,"AfterHours")</f>
        <v>Asia</v>
      </c>
    </row>
    <row r="34" spans="1:17" x14ac:dyDescent="0.3">
      <c r="A34" s="5">
        <v>93714.2</v>
      </c>
      <c r="B34" s="5">
        <v>93780.2</v>
      </c>
      <c r="C34" s="5">
        <v>14179</v>
      </c>
      <c r="D34" s="5">
        <v>15.12315838</v>
      </c>
      <c r="E34" s="5">
        <v>370</v>
      </c>
      <c r="F34" s="5">
        <v>8978</v>
      </c>
      <c r="G34" s="5">
        <v>9.5757613300000006</v>
      </c>
      <c r="H34" s="5">
        <f>[1]!BTC_data[[#This Row],[high]]-[1]!BTC_data[[#This Row],[low]]</f>
        <v>66</v>
      </c>
      <c r="I34" s="6">
        <f>[1]!BTC_data[[#This Row],[CandleRange]]/[1]!BTC_data[[#This Row],[open]]</f>
        <v>7.0410514636852441E-4</v>
      </c>
      <c r="J34" s="7">
        <f>ABS([1]!BTC_data[[#This Row],[open]]-[1]!BTC_data[[#This Row],[close]])</f>
        <v>44.19999999999709</v>
      </c>
      <c r="K34" s="6">
        <f>[1]!BTC_data[[#This Row],[CandleBody]]/[1]!BTC_data[[#This Row],[open]]</f>
        <v>4.7153708287101101E-4</v>
      </c>
      <c r="L34" s="8">
        <f>IF([1]!BTC_data[[#This Row],[CandleRange]]&gt;0,([1]!BTC_data[[#This Row],[close]]-[1]!BTC_data[[#This Row],[low]])/[1]!BTC_data[[#This Row],[CandleRange]],"")</f>
        <v>1</v>
      </c>
      <c r="M34" s="8">
        <f>IF([1]!BTC_data[[#This Row],[quote_volume]]&gt;0,[1]!BTC_data[[#This Row],[taker_buy_quote_volume]]/[1]!BTC_data[[#This Row],[quote_volume]],"")</f>
        <v>0.6331852837475872</v>
      </c>
      <c r="N34" t="str" cm="1">
        <f t="array" ref="N34">_xlfn.IFS([1]!BTC_data[[#This Row],[open]]-[1]!BTC_data[[#This Row],[close]]&gt;0,"Bearish",[1]!BTC_data[[#This Row],[open]]-[1]!BTC_data[[#This Row],[close]]&lt;0,"Bullish",TRUE,"Neutral")</f>
        <v>Bullish</v>
      </c>
      <c r="O34" s="8">
        <f>IF([1]!BTC_data[[#This Row],[CandleRange]]&gt;0,[1]!BTC_data[[#This Row],[CandleBody]]/[1]!BTC_data[[#This Row],[CandleRange]],"")</f>
        <v>0.6696969696969256</v>
      </c>
      <c r="P34" s="9" t="str" cm="1">
        <f t="array" ref="P34">_xlfn.IFS([1]!BTC_data[[#This Row],[BodyToRangeRatio]]&gt;=0.7,"Directional",[1]!BTC_data[[#This Row],[BodyToRangeRatio]]&lt;=0.3,"Indecision",TRUE,"Mixed")</f>
        <v>Mixed</v>
      </c>
      <c r="Q34" s="9" t="str" cm="1">
        <f t="array" ref="Q34">_xlfn.IFS([1]!BTC_data[[#This Row],[HourUTC]]&lt;8,"Asia",[1]!BTC_data[[#This Row],[HourUTC]]&lt;13,"London",[1]!BTC_data[[#This Row],[HourUTC]]&lt;21,"New York",TRUE,"AfterHours")</f>
        <v>Asia</v>
      </c>
    </row>
    <row r="35" spans="1:17" x14ac:dyDescent="0.3">
      <c r="A35" s="10">
        <v>93759.2</v>
      </c>
      <c r="B35" s="10">
        <v>93783.6</v>
      </c>
      <c r="C35" s="10">
        <v>29020</v>
      </c>
      <c r="D35" s="10">
        <v>30.941023300000001</v>
      </c>
      <c r="E35" s="10">
        <v>474</v>
      </c>
      <c r="F35" s="10">
        <v>20681</v>
      </c>
      <c r="G35" s="10">
        <v>22.05096498</v>
      </c>
      <c r="H35" s="10">
        <f>[1]!BTC_data[[#This Row],[high]]-[1]!BTC_data[[#This Row],[low]]</f>
        <v>53.5</v>
      </c>
      <c r="I35" s="11">
        <f>[1]!BTC_data[[#This Row],[CandleRange]]/[1]!BTC_data[[#This Row],[open]]</f>
        <v>5.7048289511005528E-4</v>
      </c>
      <c r="J35" s="12">
        <f>ABS([1]!BTC_data[[#This Row],[open]]-[1]!BTC_data[[#This Row],[close]])</f>
        <v>3.4000000000087311</v>
      </c>
      <c r="K35" s="11">
        <f>[1]!BTC_data[[#This Row],[CandleBody]]/[1]!BTC_data[[#This Row],[open]]</f>
        <v>3.6254987726713437E-5</v>
      </c>
      <c r="L35" s="13">
        <f>IF([1]!BTC_data[[#This Row],[CandleRange]]&gt;0,([1]!BTC_data[[#This Row],[close]]-[1]!BTC_data[[#This Row],[low]])/[1]!BTC_data[[#This Row],[CandleRange]],"")</f>
        <v>0.45607476635530336</v>
      </c>
      <c r="M35" s="13">
        <f>IF([1]!BTC_data[[#This Row],[quote_volume]]&gt;0,[1]!BTC_data[[#This Row],[taker_buy_quote_volume]]/[1]!BTC_data[[#This Row],[quote_volume]],"")</f>
        <v>0.7126773011414913</v>
      </c>
      <c r="N35" t="str" cm="1">
        <f t="array" ref="N35">_xlfn.IFS([1]!BTC_data[[#This Row],[open]]-[1]!BTC_data[[#This Row],[close]]&gt;0,"Bearish",[1]!BTC_data[[#This Row],[open]]-[1]!BTC_data[[#This Row],[close]]&lt;0,"Bullish",TRUE,"Neutral")</f>
        <v>Bullish</v>
      </c>
      <c r="O35" s="13">
        <f>IF([1]!BTC_data[[#This Row],[CandleRange]]&gt;0,[1]!BTC_data[[#This Row],[CandleBody]]/[1]!BTC_data[[#This Row],[CandleRange]],"")</f>
        <v>6.355140186932208E-2</v>
      </c>
      <c r="P35" s="9" t="str" cm="1">
        <f t="array" ref="P35">_xlfn.IFS([1]!BTC_data[[#This Row],[BodyToRangeRatio]]&gt;=0.7,"Directional",[1]!BTC_data[[#This Row],[BodyToRangeRatio]]&lt;=0.3,"Indecision",TRUE,"Mixed")</f>
        <v>Indecision</v>
      </c>
      <c r="Q35" s="9" t="str" cm="1">
        <f t="array" ref="Q35">_xlfn.IFS([1]!BTC_data[[#This Row],[HourUTC]]&lt;8,"Asia",[1]!BTC_data[[#This Row],[HourUTC]]&lt;13,"London",[1]!BTC_data[[#This Row],[HourUTC]]&lt;21,"New York",TRUE,"AfterHours")</f>
        <v>Asia</v>
      </c>
    </row>
    <row r="36" spans="1:17" x14ac:dyDescent="0.3">
      <c r="A36" s="5">
        <v>93783.6</v>
      </c>
      <c r="B36" s="5">
        <v>93881.600000000006</v>
      </c>
      <c r="C36" s="5">
        <v>37413</v>
      </c>
      <c r="D36" s="5">
        <v>39.849322469999997</v>
      </c>
      <c r="E36" s="5">
        <v>766</v>
      </c>
      <c r="F36" s="5">
        <v>21263</v>
      </c>
      <c r="G36" s="5">
        <v>22.652871489999999</v>
      </c>
      <c r="H36" s="5">
        <f>[1]!BTC_data[[#This Row],[high]]-[1]!BTC_data[[#This Row],[low]]</f>
        <v>165.5</v>
      </c>
      <c r="I36" s="6">
        <f>[1]!BTC_data[[#This Row],[CandleRange]]/[1]!BTC_data[[#This Row],[open]]</f>
        <v>1.7647008645434808E-3</v>
      </c>
      <c r="J36" s="7">
        <f>ABS([1]!BTC_data[[#This Row],[open]]-[1]!BTC_data[[#This Row],[close]])</f>
        <v>98</v>
      </c>
      <c r="K36" s="6">
        <f>[1]!BTC_data[[#This Row],[CandleBody]]/[1]!BTC_data[[#This Row],[open]]</f>
        <v>1.0449588200922121E-3</v>
      </c>
      <c r="L36" s="8">
        <f>IF([1]!BTC_data[[#This Row],[CandleRange]]&gt;0,([1]!BTC_data[[#This Row],[close]]-[1]!BTC_data[[#This Row],[low]])/[1]!BTC_data[[#This Row],[CandleRange]],"")</f>
        <v>0.59214501510574014</v>
      </c>
      <c r="M36" s="8">
        <f>IF([1]!BTC_data[[#This Row],[quote_volume]]&gt;0,[1]!BTC_data[[#This Row],[taker_buy_quote_volume]]/[1]!BTC_data[[#This Row],[quote_volume]],"")</f>
        <v>0.56846315284416427</v>
      </c>
      <c r="N36" t="str" cm="1">
        <f t="array" ref="N36">_xlfn.IFS([1]!BTC_data[[#This Row],[open]]-[1]!BTC_data[[#This Row],[close]]&gt;0,"Bearish",[1]!BTC_data[[#This Row],[open]]-[1]!BTC_data[[#This Row],[close]]&lt;0,"Bullish",TRUE,"Neutral")</f>
        <v>Bullish</v>
      </c>
      <c r="O36" s="8">
        <f>IF([1]!BTC_data[[#This Row],[CandleRange]]&gt;0,[1]!BTC_data[[#This Row],[CandleBody]]/[1]!BTC_data[[#This Row],[CandleRange]],"")</f>
        <v>0.59214501510574014</v>
      </c>
      <c r="P36" s="9" t="str" cm="1">
        <f t="array" ref="P36">_xlfn.IFS([1]!BTC_data[[#This Row],[BodyToRangeRatio]]&gt;=0.7,"Directional",[1]!BTC_data[[#This Row],[BodyToRangeRatio]]&lt;=0.3,"Indecision",TRUE,"Mixed")</f>
        <v>Mixed</v>
      </c>
      <c r="Q36" s="9" t="str" cm="1">
        <f t="array" ref="Q36">_xlfn.IFS([1]!BTC_data[[#This Row],[HourUTC]]&lt;8,"Asia",[1]!BTC_data[[#This Row],[HourUTC]]&lt;13,"London",[1]!BTC_data[[#This Row],[HourUTC]]&lt;21,"New York",TRUE,"AfterHours")</f>
        <v>Asia</v>
      </c>
    </row>
    <row r="37" spans="1:17" x14ac:dyDescent="0.3">
      <c r="A37" s="10">
        <v>93874.3</v>
      </c>
      <c r="B37" s="10">
        <v>93928</v>
      </c>
      <c r="C37" s="10">
        <v>21298</v>
      </c>
      <c r="D37" s="10">
        <v>22.68191397</v>
      </c>
      <c r="E37" s="10">
        <v>394</v>
      </c>
      <c r="F37" s="10">
        <v>16240</v>
      </c>
      <c r="G37" s="10">
        <v>17.295620329999998</v>
      </c>
      <c r="H37" s="10">
        <f>[1]!BTC_data[[#This Row],[high]]-[1]!BTC_data[[#This Row],[low]]</f>
        <v>53.80000000000291</v>
      </c>
      <c r="I37" s="11">
        <f>[1]!BTC_data[[#This Row],[CandleRange]]/[1]!BTC_data[[#This Row],[open]]</f>
        <v>5.7306224009819713E-4</v>
      </c>
      <c r="J37" s="12">
        <f>ABS([1]!BTC_data[[#This Row],[open]]-[1]!BTC_data[[#This Row],[close]])</f>
        <v>46.399999999994179</v>
      </c>
      <c r="K37" s="11">
        <f>[1]!BTC_data[[#This Row],[CandleBody]]/[1]!BTC_data[[#This Row],[open]]</f>
        <v>4.942395527983564E-4</v>
      </c>
      <c r="L37" s="13">
        <f>IF([1]!BTC_data[[#This Row],[CandleRange]]&gt;0,([1]!BTC_data[[#This Row],[close]]-[1]!BTC_data[[#This Row],[low]])/[1]!BTC_data[[#This Row],[CandleRange]],"")</f>
        <v>0.99814126394041236</v>
      </c>
      <c r="M37" s="13">
        <f>IF([1]!BTC_data[[#This Row],[quote_volume]]&gt;0,[1]!BTC_data[[#This Row],[taker_buy_quote_volume]]/[1]!BTC_data[[#This Row],[quote_volume]],"")</f>
        <v>0.76252913898165176</v>
      </c>
      <c r="N37" t="str" cm="1">
        <f t="array" ref="N37">_xlfn.IFS([1]!BTC_data[[#This Row],[open]]-[1]!BTC_data[[#This Row],[close]]&gt;0,"Bearish",[1]!BTC_data[[#This Row],[open]]-[1]!BTC_data[[#This Row],[close]]&lt;0,"Bullish",TRUE,"Neutral")</f>
        <v>Bullish</v>
      </c>
      <c r="O37" s="13">
        <f>IF([1]!BTC_data[[#This Row],[CandleRange]]&gt;0,[1]!BTC_data[[#This Row],[CandleBody]]/[1]!BTC_data[[#This Row],[CandleRange]],"")</f>
        <v>0.86245353159835814</v>
      </c>
      <c r="P37" s="9" t="str" cm="1">
        <f t="array" ref="P37">_xlfn.IFS([1]!BTC_data[[#This Row],[BodyToRangeRatio]]&gt;=0.7,"Directional",[1]!BTC_data[[#This Row],[BodyToRangeRatio]]&lt;=0.3,"Indecision",TRUE,"Mixed")</f>
        <v>Directional</v>
      </c>
      <c r="Q37" s="9" t="str" cm="1">
        <f t="array" ref="Q37">_xlfn.IFS([1]!BTC_data[[#This Row],[HourUTC]]&lt;8,"Asia",[1]!BTC_data[[#This Row],[HourUTC]]&lt;13,"London",[1]!BTC_data[[#This Row],[HourUTC]]&lt;21,"New York",TRUE,"AfterHours")</f>
        <v>Asia</v>
      </c>
    </row>
    <row r="38" spans="1:17" x14ac:dyDescent="0.3">
      <c r="A38" s="5">
        <v>93792.5</v>
      </c>
      <c r="B38" s="5">
        <v>93821.7</v>
      </c>
      <c r="C38" s="5">
        <v>38596</v>
      </c>
      <c r="D38" s="5">
        <v>41.13419107</v>
      </c>
      <c r="E38" s="5">
        <v>535</v>
      </c>
      <c r="F38" s="5">
        <v>20581</v>
      </c>
      <c r="G38" s="5">
        <v>21.936011820000001</v>
      </c>
      <c r="H38" s="5">
        <f>[1]!BTC_data[[#This Row],[high]]-[1]!BTC_data[[#This Row],[low]]</f>
        <v>135.60000000000582</v>
      </c>
      <c r="I38" s="6">
        <f>[1]!BTC_data[[#This Row],[CandleRange]]/[1]!BTC_data[[#This Row],[open]]</f>
        <v>1.443658972830315E-3</v>
      </c>
      <c r="J38" s="7">
        <f>ABS([1]!BTC_data[[#This Row],[open]]-[1]!BTC_data[[#This Row],[close]])</f>
        <v>106.30000000000291</v>
      </c>
      <c r="K38" s="6">
        <f>[1]!BTC_data[[#This Row],[CandleBody]]/[1]!BTC_data[[#This Row],[open]]</f>
        <v>1.1317179115918885E-3</v>
      </c>
      <c r="L38" s="8">
        <f>IF([1]!BTC_data[[#This Row],[CandleRange]]&gt;0,([1]!BTC_data[[#This Row],[close]]-[1]!BTC_data[[#This Row],[low]])/[1]!BTC_data[[#This Row],[CandleRange]],"")</f>
        <v>0.21533923303831737</v>
      </c>
      <c r="M38" s="8">
        <f>IF([1]!BTC_data[[#This Row],[quote_volume]]&gt;0,[1]!BTC_data[[#This Row],[taker_buy_quote_volume]]/[1]!BTC_data[[#This Row],[quote_volume]],"")</f>
        <v>0.53327928055447715</v>
      </c>
      <c r="N38" t="str" cm="1">
        <f t="array" ref="N38">_xlfn.IFS([1]!BTC_data[[#This Row],[open]]-[1]!BTC_data[[#This Row],[close]]&gt;0,"Bearish",[1]!BTC_data[[#This Row],[open]]-[1]!BTC_data[[#This Row],[close]]&lt;0,"Bullish",TRUE,"Neutral")</f>
        <v>Bearish</v>
      </c>
      <c r="O38" s="8">
        <f>IF([1]!BTC_data[[#This Row],[CandleRange]]&gt;0,[1]!BTC_data[[#This Row],[CandleBody]]/[1]!BTC_data[[#This Row],[CandleRange]],"")</f>
        <v>0.78392330383479603</v>
      </c>
      <c r="P38" s="9" t="str" cm="1">
        <f t="array" ref="P38">_xlfn.IFS([1]!BTC_data[[#This Row],[BodyToRangeRatio]]&gt;=0.7,"Directional",[1]!BTC_data[[#This Row],[BodyToRangeRatio]]&lt;=0.3,"Indecision",TRUE,"Mixed")</f>
        <v>Directional</v>
      </c>
      <c r="Q38" s="9" t="str" cm="1">
        <f t="array" ref="Q38">_xlfn.IFS([1]!BTC_data[[#This Row],[HourUTC]]&lt;8,"Asia",[1]!BTC_data[[#This Row],[HourUTC]]&lt;13,"London",[1]!BTC_data[[#This Row],[HourUTC]]&lt;21,"New York",TRUE,"AfterHours")</f>
        <v>Asia</v>
      </c>
    </row>
    <row r="39" spans="1:17" x14ac:dyDescent="0.3">
      <c r="A39" s="10">
        <v>93800.9</v>
      </c>
      <c r="B39" s="10">
        <v>93808.4</v>
      </c>
      <c r="C39" s="10">
        <v>24932</v>
      </c>
      <c r="D39" s="10">
        <v>26.572033659999999</v>
      </c>
      <c r="E39" s="10">
        <v>475</v>
      </c>
      <c r="F39" s="10">
        <v>13767</v>
      </c>
      <c r="G39" s="10">
        <v>14.674842330000001</v>
      </c>
      <c r="H39" s="10">
        <f>[1]!BTC_data[[#This Row],[high]]-[1]!BTC_data[[#This Row],[low]]</f>
        <v>87.400000000008731</v>
      </c>
      <c r="I39" s="11">
        <f>[1]!BTC_data[[#This Row],[CandleRange]]/[1]!BTC_data[[#This Row],[open]]</f>
        <v>9.3155421400388961E-4</v>
      </c>
      <c r="J39" s="12">
        <f>ABS([1]!BTC_data[[#This Row],[open]]-[1]!BTC_data[[#This Row],[close]])</f>
        <v>13.30000000000291</v>
      </c>
      <c r="K39" s="11">
        <f>[1]!BTC_data[[#This Row],[CandleBody]]/[1]!BTC_data[[#This Row],[open]]</f>
        <v>1.4175824995713051E-4</v>
      </c>
      <c r="L39" s="13">
        <f>IF([1]!BTC_data[[#This Row],[CandleRange]]&gt;0,([1]!BTC_data[[#This Row],[close]]-[1]!BTC_data[[#This Row],[low]])/[1]!BTC_data[[#This Row],[CandleRange]],"")</f>
        <v>8.5812356979396459E-2</v>
      </c>
      <c r="M39" s="13">
        <f>IF([1]!BTC_data[[#This Row],[quote_volume]]&gt;0,[1]!BTC_data[[#This Row],[taker_buy_quote_volume]]/[1]!BTC_data[[#This Row],[quote_volume]],"")</f>
        <v>0.55226643612493453</v>
      </c>
      <c r="N39" t="str" cm="1">
        <f t="array" ref="N39">_xlfn.IFS([1]!BTC_data[[#This Row],[open]]-[1]!BTC_data[[#This Row],[close]]&gt;0,"Bearish",[1]!BTC_data[[#This Row],[open]]-[1]!BTC_data[[#This Row],[close]]&lt;0,"Bullish",TRUE,"Neutral")</f>
        <v>Bearish</v>
      </c>
      <c r="O39" s="13">
        <f>IF([1]!BTC_data[[#This Row],[CandleRange]]&gt;0,[1]!BTC_data[[#This Row],[CandleBody]]/[1]!BTC_data[[#This Row],[CandleRange]],"")</f>
        <v>0.15217391304349637</v>
      </c>
      <c r="P39" s="9" t="str" cm="1">
        <f t="array" ref="P39">_xlfn.IFS([1]!BTC_data[[#This Row],[BodyToRangeRatio]]&gt;=0.7,"Directional",[1]!BTC_data[[#This Row],[BodyToRangeRatio]]&lt;=0.3,"Indecision",TRUE,"Mixed")</f>
        <v>Indecision</v>
      </c>
      <c r="Q39" s="9" t="str" cm="1">
        <f t="array" ref="Q39">_xlfn.IFS([1]!BTC_data[[#This Row],[HourUTC]]&lt;8,"Asia",[1]!BTC_data[[#This Row],[HourUTC]]&lt;13,"London",[1]!BTC_data[[#This Row],[HourUTC]]&lt;21,"New York",TRUE,"AfterHours")</f>
        <v>Asia</v>
      </c>
    </row>
    <row r="40" spans="1:17" x14ac:dyDescent="0.3">
      <c r="A40" s="5">
        <v>93803</v>
      </c>
      <c r="B40" s="5">
        <v>93807.8</v>
      </c>
      <c r="C40" s="5">
        <v>10977</v>
      </c>
      <c r="D40" s="5">
        <v>11.701087879999999</v>
      </c>
      <c r="E40" s="5">
        <v>239</v>
      </c>
      <c r="F40" s="5">
        <v>7910</v>
      </c>
      <c r="G40" s="5">
        <v>8.4318609599999998</v>
      </c>
      <c r="H40" s="5">
        <f>[1]!BTC_data[[#This Row],[high]]-[1]!BTC_data[[#This Row],[low]]</f>
        <v>31.19999999999709</v>
      </c>
      <c r="I40" s="6">
        <f>[1]!BTC_data[[#This Row],[CandleRange]]/[1]!BTC_data[[#This Row],[open]]</f>
        <v>3.3259246230349159E-4</v>
      </c>
      <c r="J40" s="7">
        <f>ABS([1]!BTC_data[[#This Row],[open]]-[1]!BTC_data[[#This Row],[close]])</f>
        <v>0.69999999999708962</v>
      </c>
      <c r="K40" s="6">
        <f>[1]!BTC_data[[#This Row],[CandleBody]]/[1]!BTC_data[[#This Row],[open]]</f>
        <v>7.4620103721633925E-6</v>
      </c>
      <c r="L40" s="8">
        <f>IF([1]!BTC_data[[#This Row],[CandleRange]]&gt;0,([1]!BTC_data[[#This Row],[close]]-[1]!BTC_data[[#This Row],[low]])/[1]!BTC_data[[#This Row],[CandleRange]],"")</f>
        <v>0.15384615384626149</v>
      </c>
      <c r="M40" s="8">
        <f>IF([1]!BTC_data[[#This Row],[quote_volume]]&gt;0,[1]!BTC_data[[#This Row],[taker_buy_quote_volume]]/[1]!BTC_data[[#This Row],[quote_volume]],"")</f>
        <v>0.72060487421960973</v>
      </c>
      <c r="N40" t="str" cm="1">
        <f t="array" ref="N40">_xlfn.IFS([1]!BTC_data[[#This Row],[open]]-[1]!BTC_data[[#This Row],[close]]&gt;0,"Bearish",[1]!BTC_data[[#This Row],[open]]-[1]!BTC_data[[#This Row],[close]]&lt;0,"Bullish",TRUE,"Neutral")</f>
        <v>Bearish</v>
      </c>
      <c r="O40" s="8">
        <f>IF([1]!BTC_data[[#This Row],[CandleRange]]&gt;0,[1]!BTC_data[[#This Row],[CandleBody]]/[1]!BTC_data[[#This Row],[CandleRange]],"")</f>
        <v>2.2435897435806249E-2</v>
      </c>
      <c r="P40" s="9" t="str" cm="1">
        <f t="array" ref="P40">_xlfn.IFS([1]!BTC_data[[#This Row],[BodyToRangeRatio]]&gt;=0.7,"Directional",[1]!BTC_data[[#This Row],[BodyToRangeRatio]]&lt;=0.3,"Indecision",TRUE,"Mixed")</f>
        <v>Indecision</v>
      </c>
      <c r="Q40" s="9" t="str" cm="1">
        <f t="array" ref="Q40">_xlfn.IFS([1]!BTC_data[[#This Row],[HourUTC]]&lt;8,"Asia",[1]!BTC_data[[#This Row],[HourUTC]]&lt;13,"London",[1]!BTC_data[[#This Row],[HourUTC]]&lt;21,"New York",TRUE,"AfterHours")</f>
        <v>Asia</v>
      </c>
    </row>
    <row r="41" spans="1:17" x14ac:dyDescent="0.3">
      <c r="A41" s="10">
        <v>93660</v>
      </c>
      <c r="B41" s="10">
        <v>93688.2</v>
      </c>
      <c r="C41" s="10">
        <v>20858</v>
      </c>
      <c r="D41" s="10">
        <v>22.25998542</v>
      </c>
      <c r="E41" s="10">
        <v>410</v>
      </c>
      <c r="F41" s="10">
        <v>6167</v>
      </c>
      <c r="G41" s="10">
        <v>6.5814478699999999</v>
      </c>
      <c r="H41" s="10">
        <f>[1]!BTC_data[[#This Row],[high]]-[1]!BTC_data[[#This Row],[low]]</f>
        <v>147.80000000000291</v>
      </c>
      <c r="I41" s="11">
        <f>[1]!BTC_data[[#This Row],[CandleRange]]/[1]!BTC_data[[#This Row],[open]]</f>
        <v>1.5755619468743847E-3</v>
      </c>
      <c r="J41" s="12">
        <f>ABS([1]!BTC_data[[#This Row],[open]]-[1]!BTC_data[[#This Row],[close]])</f>
        <v>119.60000000000582</v>
      </c>
      <c r="K41" s="11">
        <f>[1]!BTC_data[[#This Row],[CandleBody]]/[1]!BTC_data[[#This Row],[open]]</f>
        <v>1.2749472858334361E-3</v>
      </c>
      <c r="L41" s="13">
        <f>IF([1]!BTC_data[[#This Row],[CandleRange]]&gt;0,([1]!BTC_data[[#This Row],[close]]-[1]!BTC_data[[#This Row],[low]])/[1]!BTC_data[[#This Row],[CandleRange]],"")</f>
        <v>0.19079837618400902</v>
      </c>
      <c r="M41" s="13">
        <f>IF([1]!BTC_data[[#This Row],[quote_volume]]&gt;0,[1]!BTC_data[[#This Row],[taker_buy_quote_volume]]/[1]!BTC_data[[#This Row],[quote_volume]],"")</f>
        <v>0.29566272150774842</v>
      </c>
      <c r="N41" t="str" cm="1">
        <f t="array" ref="N41">_xlfn.IFS([1]!BTC_data[[#This Row],[open]]-[1]!BTC_data[[#This Row],[close]]&gt;0,"Bearish",[1]!BTC_data[[#This Row],[open]]-[1]!BTC_data[[#This Row],[close]]&lt;0,"Bullish",TRUE,"Neutral")</f>
        <v>Bearish</v>
      </c>
      <c r="O41" s="13">
        <f>IF([1]!BTC_data[[#This Row],[CandleRange]]&gt;0,[1]!BTC_data[[#This Row],[CandleBody]]/[1]!BTC_data[[#This Row],[CandleRange]],"")</f>
        <v>0.80920162381599092</v>
      </c>
      <c r="P41" s="9" t="str" cm="1">
        <f t="array" ref="P41">_xlfn.IFS([1]!BTC_data[[#This Row],[BodyToRangeRatio]]&gt;=0.7,"Directional",[1]!BTC_data[[#This Row],[BodyToRangeRatio]]&lt;=0.3,"Indecision",TRUE,"Mixed")</f>
        <v>Directional</v>
      </c>
      <c r="Q41" s="9" t="str" cm="1">
        <f t="array" ref="Q41">_xlfn.IFS([1]!BTC_data[[#This Row],[HourUTC]]&lt;8,"Asia",[1]!BTC_data[[#This Row],[HourUTC]]&lt;13,"London",[1]!BTC_data[[#This Row],[HourUTC]]&lt;21,"New York",TRUE,"AfterHours")</f>
        <v>Asia</v>
      </c>
    </row>
    <row r="42" spans="1:17" x14ac:dyDescent="0.3">
      <c r="A42" s="5">
        <v>93615.2</v>
      </c>
      <c r="B42" s="5">
        <v>93675</v>
      </c>
      <c r="C42" s="5">
        <v>46197</v>
      </c>
      <c r="D42" s="5">
        <v>49.32519362</v>
      </c>
      <c r="E42" s="5">
        <v>610</v>
      </c>
      <c r="F42" s="5">
        <v>16612</v>
      </c>
      <c r="G42" s="5">
        <v>17.73805351</v>
      </c>
      <c r="H42" s="5">
        <f>[1]!BTC_data[[#This Row],[high]]-[1]!BTC_data[[#This Row],[low]]</f>
        <v>85.5</v>
      </c>
      <c r="I42" s="6">
        <f>[1]!BTC_data[[#This Row],[CandleRange]]/[1]!BTC_data[[#This Row],[open]]</f>
        <v>9.1260158696612813E-4</v>
      </c>
      <c r="J42" s="7">
        <f>ABS([1]!BTC_data[[#This Row],[open]]-[1]!BTC_data[[#This Row],[close]])</f>
        <v>13.19999999999709</v>
      </c>
      <c r="K42" s="6">
        <f>[1]!BTC_data[[#This Row],[CandleBody]]/[1]!BTC_data[[#This Row],[open]]</f>
        <v>1.4089287658421328E-4</v>
      </c>
      <c r="L42" s="8">
        <f>IF([1]!BTC_data[[#This Row],[CandleRange]]&gt;0,([1]!BTC_data[[#This Row],[close]]-[1]!BTC_data[[#This Row],[low]])/[1]!BTC_data[[#This Row],[CandleRange]],"")</f>
        <v>0.69941520467839657</v>
      </c>
      <c r="M42" s="8">
        <f>IF([1]!BTC_data[[#This Row],[quote_volume]]&gt;0,[1]!BTC_data[[#This Row],[taker_buy_quote_volume]]/[1]!BTC_data[[#This Row],[quote_volume]],"")</f>
        <v>0.35961447301461197</v>
      </c>
      <c r="N42" t="str" cm="1">
        <f t="array" ref="N42">_xlfn.IFS([1]!BTC_data[[#This Row],[open]]-[1]!BTC_data[[#This Row],[close]]&gt;0,"Bearish",[1]!BTC_data[[#This Row],[open]]-[1]!BTC_data[[#This Row],[close]]&lt;0,"Bullish",TRUE,"Neutral")</f>
        <v>Bearish</v>
      </c>
      <c r="O42" s="8">
        <f>IF([1]!BTC_data[[#This Row],[CandleRange]]&gt;0,[1]!BTC_data[[#This Row],[CandleBody]]/[1]!BTC_data[[#This Row],[CandleRange]],"")</f>
        <v>0.15438596491224665</v>
      </c>
      <c r="P42" s="9" t="str" cm="1">
        <f t="array" ref="P42">_xlfn.IFS([1]!BTC_data[[#This Row],[BodyToRangeRatio]]&gt;=0.7,"Directional",[1]!BTC_data[[#This Row],[BodyToRangeRatio]]&lt;=0.3,"Indecision",TRUE,"Mixed")</f>
        <v>Indecision</v>
      </c>
      <c r="Q42" s="9" t="str" cm="1">
        <f t="array" ref="Q42">_xlfn.IFS([1]!BTC_data[[#This Row],[HourUTC]]&lt;8,"Asia",[1]!BTC_data[[#This Row],[HourUTC]]&lt;13,"London",[1]!BTC_data[[#This Row],[HourUTC]]&lt;21,"New York",TRUE,"AfterHours")</f>
        <v>Asia</v>
      </c>
    </row>
    <row r="43" spans="1:17" x14ac:dyDescent="0.3">
      <c r="A43" s="10">
        <v>93674.1</v>
      </c>
      <c r="B43" s="10">
        <v>93674.1</v>
      </c>
      <c r="C43" s="10">
        <v>15916</v>
      </c>
      <c r="D43" s="10">
        <v>16.98870806</v>
      </c>
      <c r="E43" s="10">
        <v>269</v>
      </c>
      <c r="F43" s="10">
        <v>6531</v>
      </c>
      <c r="G43" s="10">
        <v>6.9713582699999996</v>
      </c>
      <c r="H43" s="10">
        <f>[1]!BTC_data[[#This Row],[high]]-[1]!BTC_data[[#This Row],[low]]</f>
        <v>21.899999999994179</v>
      </c>
      <c r="I43" s="11">
        <f>[1]!BTC_data[[#This Row],[CandleRange]]/[1]!BTC_data[[#This Row],[open]]</f>
        <v>2.3378727919639284E-4</v>
      </c>
      <c r="J43" s="12">
        <f>ABS([1]!BTC_data[[#This Row],[open]]-[1]!BTC_data[[#This Row],[close]])</f>
        <v>0.79999999998835847</v>
      </c>
      <c r="K43" s="11">
        <f>[1]!BTC_data[[#This Row],[CandleBody]]/[1]!BTC_data[[#This Row],[open]]</f>
        <v>8.540174582394627E-6</v>
      </c>
      <c r="L43" s="13">
        <f>IF([1]!BTC_data[[#This Row],[CandleRange]]&gt;0,([1]!BTC_data[[#This Row],[close]]-[1]!BTC_data[[#This Row],[low]])/[1]!BTC_data[[#This Row],[CandleRange]],"")</f>
        <v>0</v>
      </c>
      <c r="M43" s="13">
        <f>IF([1]!BTC_data[[#This Row],[quote_volume]]&gt;0,[1]!BTC_data[[#This Row],[taker_buy_quote_volume]]/[1]!BTC_data[[#This Row],[quote_volume]],"")</f>
        <v>0.41035246737885256</v>
      </c>
      <c r="N43" t="str" cm="1">
        <f t="array" ref="N43">_xlfn.IFS([1]!BTC_data[[#This Row],[open]]-[1]!BTC_data[[#This Row],[close]]&gt;0,"Bearish",[1]!BTC_data[[#This Row],[open]]-[1]!BTC_data[[#This Row],[close]]&lt;0,"Bullish",TRUE,"Neutral")</f>
        <v>Bearish</v>
      </c>
      <c r="O43" s="13">
        <f>IF([1]!BTC_data[[#This Row],[CandleRange]]&gt;0,[1]!BTC_data[[#This Row],[CandleBody]]/[1]!BTC_data[[#This Row],[CandleRange]],"")</f>
        <v>3.6529680364774934E-2</v>
      </c>
      <c r="P43" s="9" t="str" cm="1">
        <f t="array" ref="P43">_xlfn.IFS([1]!BTC_data[[#This Row],[BodyToRangeRatio]]&gt;=0.7,"Directional",[1]!BTC_data[[#This Row],[BodyToRangeRatio]]&lt;=0.3,"Indecision",TRUE,"Mixed")</f>
        <v>Indecision</v>
      </c>
      <c r="Q43" s="9" t="str" cm="1">
        <f t="array" ref="Q43">_xlfn.IFS([1]!BTC_data[[#This Row],[HourUTC]]&lt;8,"Asia",[1]!BTC_data[[#This Row],[HourUTC]]&lt;13,"London",[1]!BTC_data[[#This Row],[HourUTC]]&lt;21,"New York",TRUE,"AfterHours")</f>
        <v>Asia</v>
      </c>
    </row>
    <row r="44" spans="1:17" x14ac:dyDescent="0.3">
      <c r="A44" s="5">
        <v>93661</v>
      </c>
      <c r="B44" s="5">
        <v>93667</v>
      </c>
      <c r="C44" s="5">
        <v>27229</v>
      </c>
      <c r="D44" s="5">
        <v>29.065920770000002</v>
      </c>
      <c r="E44" s="5">
        <v>351</v>
      </c>
      <c r="F44" s="5">
        <v>22163</v>
      </c>
      <c r="G44" s="5">
        <v>23.65824229</v>
      </c>
      <c r="H44" s="5">
        <f>[1]!BTC_data[[#This Row],[high]]-[1]!BTC_data[[#This Row],[low]]</f>
        <v>28.5</v>
      </c>
      <c r="I44" s="6">
        <f>[1]!BTC_data[[#This Row],[CandleRange]]/[1]!BTC_data[[#This Row],[open]]</f>
        <v>3.0424631781890616E-4</v>
      </c>
      <c r="J44" s="7">
        <f>ABS([1]!BTC_data[[#This Row],[open]]-[1]!BTC_data[[#This Row],[close]])</f>
        <v>7.1000000000058208</v>
      </c>
      <c r="K44" s="6">
        <f>[1]!BTC_data[[#This Row],[CandleBody]]/[1]!BTC_data[[#This Row],[open]]</f>
        <v>7.579469671985981E-5</v>
      </c>
      <c r="L44" s="8">
        <f>IF([1]!BTC_data[[#This Row],[CandleRange]]&gt;0,([1]!BTC_data[[#This Row],[close]]-[1]!BTC_data[[#This Row],[low]])/[1]!BTC_data[[#This Row],[CandleRange]],"")</f>
        <v>0.21052631578947367</v>
      </c>
      <c r="M44" s="8">
        <f>IF([1]!BTC_data[[#This Row],[quote_volume]]&gt;0,[1]!BTC_data[[#This Row],[taker_buy_quote_volume]]/[1]!BTC_data[[#This Row],[quote_volume]],"")</f>
        <v>0.81395124129074681</v>
      </c>
      <c r="N44" t="str" cm="1">
        <f t="array" ref="N44">_xlfn.IFS([1]!BTC_data[[#This Row],[open]]-[1]!BTC_data[[#This Row],[close]]&gt;0,"Bearish",[1]!BTC_data[[#This Row],[open]]-[1]!BTC_data[[#This Row],[close]]&lt;0,"Bullish",TRUE,"Neutral")</f>
        <v>Bearish</v>
      </c>
      <c r="O44" s="8">
        <f>IF([1]!BTC_data[[#This Row],[CandleRange]]&gt;0,[1]!BTC_data[[#This Row],[CandleBody]]/[1]!BTC_data[[#This Row],[CandleRange]],"")</f>
        <v>0.24912280701774811</v>
      </c>
      <c r="P44" s="9" t="str" cm="1">
        <f t="array" ref="P44">_xlfn.IFS([1]!BTC_data[[#This Row],[BodyToRangeRatio]]&gt;=0.7,"Directional",[1]!BTC_data[[#This Row],[BodyToRangeRatio]]&lt;=0.3,"Indecision",TRUE,"Mixed")</f>
        <v>Indecision</v>
      </c>
      <c r="Q44" s="9" t="str" cm="1">
        <f t="array" ref="Q44">_xlfn.IFS([1]!BTC_data[[#This Row],[HourUTC]]&lt;8,"Asia",[1]!BTC_data[[#This Row],[HourUTC]]&lt;13,"London",[1]!BTC_data[[#This Row],[HourUTC]]&lt;21,"New York",TRUE,"AfterHours")</f>
        <v>Asia</v>
      </c>
    </row>
    <row r="45" spans="1:17" x14ac:dyDescent="0.3">
      <c r="A45" s="10">
        <v>93645.6</v>
      </c>
      <c r="B45" s="10">
        <v>93694.399999999994</v>
      </c>
      <c r="C45" s="10">
        <v>18953</v>
      </c>
      <c r="D45" s="10">
        <v>20.236750140000002</v>
      </c>
      <c r="E45" s="10">
        <v>285</v>
      </c>
      <c r="F45" s="10">
        <v>15061</v>
      </c>
      <c r="G45" s="10">
        <v>16.081178860000001</v>
      </c>
      <c r="H45" s="10">
        <f>[1]!BTC_data[[#This Row],[high]]-[1]!BTC_data[[#This Row],[low]]</f>
        <v>48.799999999988358</v>
      </c>
      <c r="I45" s="11">
        <f>[1]!BTC_data[[#This Row],[CandleRange]]/[1]!BTC_data[[#This Row],[open]]</f>
        <v>5.2099458720775041E-4</v>
      </c>
      <c r="J45" s="12">
        <f>ABS([1]!BTC_data[[#This Row],[open]]-[1]!BTC_data[[#This Row],[close]])</f>
        <v>27.399999999994179</v>
      </c>
      <c r="K45" s="11">
        <f>[1]!BTC_data[[#This Row],[CandleBody]]/[1]!BTC_data[[#This Row],[open]]</f>
        <v>2.9252564937485111E-4</v>
      </c>
      <c r="L45" s="13">
        <f>IF([1]!BTC_data[[#This Row],[CandleRange]]&gt;0,([1]!BTC_data[[#This Row],[close]]-[1]!BTC_data[[#This Row],[low]])/[1]!BTC_data[[#This Row],[CandleRange]],"")</f>
        <v>1</v>
      </c>
      <c r="M45" s="13">
        <f>IF([1]!BTC_data[[#This Row],[quote_volume]]&gt;0,[1]!BTC_data[[#This Row],[taker_buy_quote_volume]]/[1]!BTC_data[[#This Row],[quote_volume]],"")</f>
        <v>0.79465224152834257</v>
      </c>
      <c r="N45" t="str" cm="1">
        <f t="array" ref="N45">_xlfn.IFS([1]!BTC_data[[#This Row],[open]]-[1]!BTC_data[[#This Row],[close]]&gt;0,"Bearish",[1]!BTC_data[[#This Row],[open]]-[1]!BTC_data[[#This Row],[close]]&lt;0,"Bullish",TRUE,"Neutral")</f>
        <v>Bullish</v>
      </c>
      <c r="O45" s="13">
        <f>IF([1]!BTC_data[[#This Row],[CandleRange]]&gt;0,[1]!BTC_data[[#This Row],[CandleBody]]/[1]!BTC_data[[#This Row],[CandleRange]],"")</f>
        <v>0.56147540983608024</v>
      </c>
      <c r="P45" s="9" t="str" cm="1">
        <f t="array" ref="P45">_xlfn.IFS([1]!BTC_data[[#This Row],[BodyToRangeRatio]]&gt;=0.7,"Directional",[1]!BTC_data[[#This Row],[BodyToRangeRatio]]&lt;=0.3,"Indecision",TRUE,"Mixed")</f>
        <v>Mixed</v>
      </c>
      <c r="Q45" s="9" t="str" cm="1">
        <f t="array" ref="Q45">_xlfn.IFS([1]!BTC_data[[#This Row],[HourUTC]]&lt;8,"Asia",[1]!BTC_data[[#This Row],[HourUTC]]&lt;13,"London",[1]!BTC_data[[#This Row],[HourUTC]]&lt;21,"New York",TRUE,"AfterHours")</f>
        <v>Asia</v>
      </c>
    </row>
    <row r="46" spans="1:17" x14ac:dyDescent="0.3">
      <c r="A46" s="5">
        <v>93679.6</v>
      </c>
      <c r="B46" s="5">
        <v>93692.9</v>
      </c>
      <c r="C46" s="5">
        <v>36068</v>
      </c>
      <c r="D46" s="5">
        <v>38.490268950000001</v>
      </c>
      <c r="E46" s="5">
        <v>367</v>
      </c>
      <c r="F46" s="5">
        <v>10922</v>
      </c>
      <c r="G46" s="5">
        <v>11.657569219999999</v>
      </c>
      <c r="H46" s="5">
        <f>[1]!BTC_data[[#This Row],[high]]-[1]!BTC_data[[#This Row],[low]]</f>
        <v>45.5</v>
      </c>
      <c r="I46" s="6">
        <f>[1]!BTC_data[[#This Row],[CandleRange]]/[1]!BTC_data[[#This Row],[open]]</f>
        <v>4.8562133916221252E-4</v>
      </c>
      <c r="J46" s="7">
        <f>ABS([1]!BTC_data[[#This Row],[open]]-[1]!BTC_data[[#This Row],[close]])</f>
        <v>1.5</v>
      </c>
      <c r="K46" s="6">
        <f>[1]!BTC_data[[#This Row],[CandleBody]]/[1]!BTC_data[[#This Row],[open]]</f>
        <v>1.6009494697655357E-5</v>
      </c>
      <c r="L46" s="8">
        <f>IF([1]!BTC_data[[#This Row],[CandleRange]]&gt;0,([1]!BTC_data[[#This Row],[close]]-[1]!BTC_data[[#This Row],[low]])/[1]!BTC_data[[#This Row],[CandleRange]],"")</f>
        <v>0.29230769230743647</v>
      </c>
      <c r="M46" s="8">
        <f>IF([1]!BTC_data[[#This Row],[quote_volume]]&gt;0,[1]!BTC_data[[#This Row],[taker_buy_quote_volume]]/[1]!BTC_data[[#This Row],[quote_volume]],"")</f>
        <v>0.30287055762440962</v>
      </c>
      <c r="N46" t="str" cm="1">
        <f t="array" ref="N46">_xlfn.IFS([1]!BTC_data[[#This Row],[open]]-[1]!BTC_data[[#This Row],[close]]&gt;0,"Bearish",[1]!BTC_data[[#This Row],[open]]-[1]!BTC_data[[#This Row],[close]]&lt;0,"Bullish",TRUE,"Neutral")</f>
        <v>Bearish</v>
      </c>
      <c r="O46" s="8">
        <f>IF([1]!BTC_data[[#This Row],[CandleRange]]&gt;0,[1]!BTC_data[[#This Row],[CandleBody]]/[1]!BTC_data[[#This Row],[CandleRange]],"")</f>
        <v>3.2967032967032968E-2</v>
      </c>
      <c r="P46" s="9" t="str" cm="1">
        <f t="array" ref="P46">_xlfn.IFS([1]!BTC_data[[#This Row],[BodyToRangeRatio]]&gt;=0.7,"Directional",[1]!BTC_data[[#This Row],[BodyToRangeRatio]]&lt;=0.3,"Indecision",TRUE,"Mixed")</f>
        <v>Indecision</v>
      </c>
      <c r="Q46" s="9" t="str" cm="1">
        <f t="array" ref="Q46">_xlfn.IFS([1]!BTC_data[[#This Row],[HourUTC]]&lt;8,"Asia",[1]!BTC_data[[#This Row],[HourUTC]]&lt;13,"London",[1]!BTC_data[[#This Row],[HourUTC]]&lt;21,"New York",TRUE,"AfterHours")</f>
        <v>Asia</v>
      </c>
    </row>
    <row r="47" spans="1:17" x14ac:dyDescent="0.3">
      <c r="A47" s="10">
        <v>93568</v>
      </c>
      <c r="B47" s="10">
        <v>93621.3</v>
      </c>
      <c r="C47" s="10">
        <v>31813</v>
      </c>
      <c r="D47" s="10">
        <v>33.972214770000001</v>
      </c>
      <c r="E47" s="10">
        <v>522</v>
      </c>
      <c r="F47" s="10">
        <v>10092</v>
      </c>
      <c r="G47" s="10">
        <v>10.777468369999999</v>
      </c>
      <c r="H47" s="10">
        <f>[1]!BTC_data[[#This Row],[high]]-[1]!BTC_data[[#This Row],[low]]</f>
        <v>144</v>
      </c>
      <c r="I47" s="11">
        <f>[1]!BTC_data[[#This Row],[CandleRange]]/[1]!BTC_data[[#This Row],[open]]</f>
        <v>1.5369377369445678E-3</v>
      </c>
      <c r="J47" s="12">
        <f>ABS([1]!BTC_data[[#This Row],[open]]-[1]!BTC_data[[#This Row],[close]])</f>
        <v>71.5</v>
      </c>
      <c r="K47" s="11">
        <f>[1]!BTC_data[[#This Row],[CandleBody]]/[1]!BTC_data[[#This Row],[open]]</f>
        <v>7.6313227910789296E-4</v>
      </c>
      <c r="L47" s="13">
        <f>IF([1]!BTC_data[[#This Row],[CandleRange]]&gt;0,([1]!BTC_data[[#This Row],[close]]-[1]!BTC_data[[#This Row],[low]])/[1]!BTC_data[[#This Row],[CandleRange]],"")</f>
        <v>0.37013888888890911</v>
      </c>
      <c r="M47" s="13">
        <f>IF([1]!BTC_data[[#This Row],[quote_volume]]&gt;0,[1]!BTC_data[[#This Row],[taker_buy_quote_volume]]/[1]!BTC_data[[#This Row],[quote_volume]],"")</f>
        <v>0.31724361932143758</v>
      </c>
      <c r="N47" t="str" cm="1">
        <f t="array" ref="N47">_xlfn.IFS([1]!BTC_data[[#This Row],[open]]-[1]!BTC_data[[#This Row],[close]]&gt;0,"Bearish",[1]!BTC_data[[#This Row],[open]]-[1]!BTC_data[[#This Row],[close]]&lt;0,"Bullish",TRUE,"Neutral")</f>
        <v>Bearish</v>
      </c>
      <c r="O47" s="13">
        <f>IF([1]!BTC_data[[#This Row],[CandleRange]]&gt;0,[1]!BTC_data[[#This Row],[CandleBody]]/[1]!BTC_data[[#This Row],[CandleRange]],"")</f>
        <v>0.49652777777777779</v>
      </c>
      <c r="P47" s="9" t="str" cm="1">
        <f t="array" ref="P47">_xlfn.IFS([1]!BTC_data[[#This Row],[BodyToRangeRatio]]&gt;=0.7,"Directional",[1]!BTC_data[[#This Row],[BodyToRangeRatio]]&lt;=0.3,"Indecision",TRUE,"Mixed")</f>
        <v>Mixed</v>
      </c>
      <c r="Q47" s="9" t="str" cm="1">
        <f t="array" ref="Q47">_xlfn.IFS([1]!BTC_data[[#This Row],[HourUTC]]&lt;8,"Asia",[1]!BTC_data[[#This Row],[HourUTC]]&lt;13,"London",[1]!BTC_data[[#This Row],[HourUTC]]&lt;21,"New York",TRUE,"AfterHours")</f>
        <v>Asia</v>
      </c>
    </row>
    <row r="48" spans="1:17" x14ac:dyDescent="0.3">
      <c r="A48" s="5">
        <v>93621.4</v>
      </c>
      <c r="B48" s="5">
        <v>93651.9</v>
      </c>
      <c r="C48" s="5">
        <v>8135</v>
      </c>
      <c r="D48" s="5">
        <v>8.6870770799999999</v>
      </c>
      <c r="E48" s="5">
        <v>151</v>
      </c>
      <c r="F48" s="5">
        <v>4371</v>
      </c>
      <c r="G48" s="5">
        <v>4.6676903100000002</v>
      </c>
      <c r="H48" s="5">
        <f>[1]!BTC_data[[#This Row],[high]]-[1]!BTC_data[[#This Row],[low]]</f>
        <v>30.900000000008731</v>
      </c>
      <c r="I48" s="6">
        <f>[1]!BTC_data[[#This Row],[CandleRange]]/[1]!BTC_data[[#This Row],[open]]</f>
        <v>3.3005274435127794E-4</v>
      </c>
      <c r="J48" s="7">
        <f>ABS([1]!BTC_data[[#This Row],[open]]-[1]!BTC_data[[#This Row],[close]])</f>
        <v>30.5</v>
      </c>
      <c r="K48" s="6">
        <f>[1]!BTC_data[[#This Row],[CandleBody]]/[1]!BTC_data[[#This Row],[open]]</f>
        <v>3.2578021691621791E-4</v>
      </c>
      <c r="L48" s="8">
        <f>IF([1]!BTC_data[[#This Row],[CandleRange]]&gt;0,([1]!BTC_data[[#This Row],[close]]-[1]!BTC_data[[#This Row],[low]])/[1]!BTC_data[[#This Row],[CandleRange]],"")</f>
        <v>0.98705501618095082</v>
      </c>
      <c r="M48" s="8">
        <f>IF([1]!BTC_data[[#This Row],[quote_volume]]&gt;0,[1]!BTC_data[[#This Row],[taker_buy_quote_volume]]/[1]!BTC_data[[#This Row],[quote_volume]],"")</f>
        <v>0.53731425046823689</v>
      </c>
      <c r="N48" t="str" cm="1">
        <f t="array" ref="N48">_xlfn.IFS([1]!BTC_data[[#This Row],[open]]-[1]!BTC_data[[#This Row],[close]]&gt;0,"Bearish",[1]!BTC_data[[#This Row],[open]]-[1]!BTC_data[[#This Row],[close]]&lt;0,"Bullish",TRUE,"Neutral")</f>
        <v>Bullish</v>
      </c>
      <c r="O48" s="8">
        <f>IF([1]!BTC_data[[#This Row],[CandleRange]]&gt;0,[1]!BTC_data[[#This Row],[CandleBody]]/[1]!BTC_data[[#This Row],[CandleRange]],"")</f>
        <v>0.98705501618095082</v>
      </c>
      <c r="P48" s="9" t="str" cm="1">
        <f t="array" ref="P48">_xlfn.IFS([1]!BTC_data[[#This Row],[BodyToRangeRatio]]&gt;=0.7,"Directional",[1]!BTC_data[[#This Row],[BodyToRangeRatio]]&lt;=0.3,"Indecision",TRUE,"Mixed")</f>
        <v>Directional</v>
      </c>
      <c r="Q48" s="9" t="str" cm="1">
        <f t="array" ref="Q48">_xlfn.IFS([1]!BTC_data[[#This Row],[HourUTC]]&lt;8,"Asia",[1]!BTC_data[[#This Row],[HourUTC]]&lt;13,"London",[1]!BTC_data[[#This Row],[HourUTC]]&lt;21,"New York",TRUE,"AfterHours")</f>
        <v>Asia</v>
      </c>
    </row>
    <row r="49" spans="1:17" x14ac:dyDescent="0.3">
      <c r="A49" s="10">
        <v>93644</v>
      </c>
      <c r="B49" s="10">
        <v>93680.9</v>
      </c>
      <c r="C49" s="10">
        <v>5615</v>
      </c>
      <c r="D49" s="10">
        <v>5.9947953600000004</v>
      </c>
      <c r="E49" s="10">
        <v>137</v>
      </c>
      <c r="F49" s="10">
        <v>4247</v>
      </c>
      <c r="G49" s="10">
        <v>4.5342684200000001</v>
      </c>
      <c r="H49" s="10">
        <f>[1]!BTC_data[[#This Row],[high]]-[1]!BTC_data[[#This Row],[low]]</f>
        <v>37</v>
      </c>
      <c r="I49" s="11">
        <f>[1]!BTC_data[[#This Row],[CandleRange]]/[1]!BTC_data[[#This Row],[open]]</f>
        <v>3.9508007846076801E-4</v>
      </c>
      <c r="J49" s="12">
        <f>ABS([1]!BTC_data[[#This Row],[open]]-[1]!BTC_data[[#This Row],[close]])</f>
        <v>29</v>
      </c>
      <c r="K49" s="11">
        <f>[1]!BTC_data[[#This Row],[CandleBody]]/[1]!BTC_data[[#This Row],[open]]</f>
        <v>3.0965735879357495E-4</v>
      </c>
      <c r="L49" s="13">
        <f>IF([1]!BTC_data[[#This Row],[CandleRange]]&gt;0,([1]!BTC_data[[#This Row],[close]]-[1]!BTC_data[[#This Row],[low]])/[1]!BTC_data[[#This Row],[CandleRange]],"")</f>
        <v>0.99729729729714001</v>
      </c>
      <c r="M49" s="13">
        <f>IF([1]!BTC_data[[#This Row],[quote_volume]]&gt;0,[1]!BTC_data[[#This Row],[taker_buy_quote_volume]]/[1]!BTC_data[[#This Row],[quote_volume]],"")</f>
        <v>0.75636750676340014</v>
      </c>
      <c r="N49" t="str" cm="1">
        <f t="array" ref="N49">_xlfn.IFS([1]!BTC_data[[#This Row],[open]]-[1]!BTC_data[[#This Row],[close]]&gt;0,"Bearish",[1]!BTC_data[[#This Row],[open]]-[1]!BTC_data[[#This Row],[close]]&lt;0,"Bullish",TRUE,"Neutral")</f>
        <v>Bullish</v>
      </c>
      <c r="O49" s="13">
        <f>IF([1]!BTC_data[[#This Row],[CandleRange]]&gt;0,[1]!BTC_data[[#This Row],[CandleBody]]/[1]!BTC_data[[#This Row],[CandleRange]],"")</f>
        <v>0.78378378378378377</v>
      </c>
      <c r="P49" s="9" t="str" cm="1">
        <f t="array" ref="P49">_xlfn.IFS([1]!BTC_data[[#This Row],[BodyToRangeRatio]]&gt;=0.7,"Directional",[1]!BTC_data[[#This Row],[BodyToRangeRatio]]&lt;=0.3,"Indecision",TRUE,"Mixed")</f>
        <v>Directional</v>
      </c>
      <c r="Q49" s="9" t="str" cm="1">
        <f t="array" ref="Q49">_xlfn.IFS([1]!BTC_data[[#This Row],[HourUTC]]&lt;8,"Asia",[1]!BTC_data[[#This Row],[HourUTC]]&lt;13,"London",[1]!BTC_data[[#This Row],[HourUTC]]&lt;21,"New York",TRUE,"AfterHours")</f>
        <v>Asia</v>
      </c>
    </row>
    <row r="50" spans="1:17" x14ac:dyDescent="0.3">
      <c r="A50" s="5">
        <v>93574.6</v>
      </c>
      <c r="B50" s="5">
        <v>93641.2</v>
      </c>
      <c r="C50" s="5">
        <v>22676</v>
      </c>
      <c r="D50" s="5">
        <v>24.224873939999998</v>
      </c>
      <c r="E50" s="5">
        <v>392</v>
      </c>
      <c r="F50" s="5">
        <v>15265</v>
      </c>
      <c r="G50" s="5">
        <v>16.308889910000001</v>
      </c>
      <c r="H50" s="5">
        <f>[1]!BTC_data[[#This Row],[high]]-[1]!BTC_data[[#This Row],[low]]</f>
        <v>106.29999999998836</v>
      </c>
      <c r="I50" s="6">
        <f>[1]!BTC_data[[#This Row],[CandleRange]]/[1]!BTC_data[[#This Row],[open]]</f>
        <v>1.1347030184379993E-3</v>
      </c>
      <c r="J50" s="7">
        <f>ABS([1]!BTC_data[[#This Row],[open]]-[1]!BTC_data[[#This Row],[close]])</f>
        <v>39.69999999999709</v>
      </c>
      <c r="K50" s="6">
        <f>[1]!BTC_data[[#This Row],[CandleBody]]/[1]!BTC_data[[#This Row],[open]]</f>
        <v>4.2377902005635187E-4</v>
      </c>
      <c r="L50" s="8">
        <f>IF([1]!BTC_data[[#This Row],[CandleRange]]&gt;0,([1]!BTC_data[[#This Row],[close]]-[1]!BTC_data[[#This Row],[low]])/[1]!BTC_data[[#This Row],[CandleRange]],"")</f>
        <v>0.62652869238004294</v>
      </c>
      <c r="M50" s="8">
        <f>IF([1]!BTC_data[[#This Row],[quote_volume]]&gt;0,[1]!BTC_data[[#This Row],[taker_buy_quote_volume]]/[1]!BTC_data[[#This Row],[quote_volume]],"")</f>
        <v>0.67322909297252687</v>
      </c>
      <c r="N50" t="str" cm="1">
        <f t="array" ref="N50">_xlfn.IFS([1]!BTC_data[[#This Row],[open]]-[1]!BTC_data[[#This Row],[close]]&gt;0,"Bearish",[1]!BTC_data[[#This Row],[open]]-[1]!BTC_data[[#This Row],[close]]&lt;0,"Bullish",TRUE,"Neutral")</f>
        <v>Bearish</v>
      </c>
      <c r="O50" s="8">
        <f>IF([1]!BTC_data[[#This Row],[CandleRange]]&gt;0,[1]!BTC_data[[#This Row],[CandleBody]]/[1]!BTC_data[[#This Row],[CandleRange]],"")</f>
        <v>0.37347130761995706</v>
      </c>
      <c r="P50" s="9" t="str" cm="1">
        <f t="array" ref="P50">_xlfn.IFS([1]!BTC_data[[#This Row],[BodyToRangeRatio]]&gt;=0.7,"Directional",[1]!BTC_data[[#This Row],[BodyToRangeRatio]]&lt;=0.3,"Indecision",TRUE,"Mixed")</f>
        <v>Mixed</v>
      </c>
      <c r="Q50" s="9" t="str" cm="1">
        <f t="array" ref="Q50">_xlfn.IFS([1]!BTC_data[[#This Row],[HourUTC]]&lt;8,"Asia",[1]!BTC_data[[#This Row],[HourUTC]]&lt;13,"London",[1]!BTC_data[[#This Row],[HourUTC]]&lt;21,"New York",TRUE,"AfterHours")</f>
        <v>Asia</v>
      </c>
    </row>
    <row r="51" spans="1:17" x14ac:dyDescent="0.3">
      <c r="A51" s="10">
        <v>93534</v>
      </c>
      <c r="B51" s="10">
        <v>93559.3</v>
      </c>
      <c r="C51" s="10">
        <v>55286</v>
      </c>
      <c r="D51" s="10">
        <v>59.08847695</v>
      </c>
      <c r="E51" s="10">
        <v>396</v>
      </c>
      <c r="F51" s="10">
        <v>3285</v>
      </c>
      <c r="G51" s="10">
        <v>3.50970212</v>
      </c>
      <c r="H51" s="10">
        <f>[1]!BTC_data[[#This Row],[high]]-[1]!BTC_data[[#This Row],[low]]</f>
        <v>107.30000000000291</v>
      </c>
      <c r="I51" s="11">
        <f>[1]!BTC_data[[#This Row],[CandleRange]]/[1]!BTC_data[[#This Row],[open]]</f>
        <v>1.1458631457093983E-3</v>
      </c>
      <c r="J51" s="12">
        <f>ABS([1]!BTC_data[[#This Row],[open]]-[1]!BTC_data[[#This Row],[close]])</f>
        <v>81.899999999994179</v>
      </c>
      <c r="K51" s="11">
        <f>[1]!BTC_data[[#This Row],[CandleBody]]/[1]!BTC_data[[#This Row],[open]]</f>
        <v>8.7461501988434767E-4</v>
      </c>
      <c r="L51" s="13">
        <f>IF([1]!BTC_data[[#This Row],[CandleRange]]&gt;0,([1]!BTC_data[[#This Row],[close]]-[1]!BTC_data[[#This Row],[low]])/[1]!BTC_data[[#This Row],[CandleRange]],"")</f>
        <v>0.23578751164960135</v>
      </c>
      <c r="M51" s="13">
        <f>IF([1]!BTC_data[[#This Row],[quote_volume]]&gt;0,[1]!BTC_data[[#This Row],[taker_buy_quote_volume]]/[1]!BTC_data[[#This Row],[quote_volume]],"")</f>
        <v>5.9397403709861574E-2</v>
      </c>
      <c r="N51" t="str" cm="1">
        <f t="array" ref="N51">_xlfn.IFS([1]!BTC_data[[#This Row],[open]]-[1]!BTC_data[[#This Row],[close]]&gt;0,"Bearish",[1]!BTC_data[[#This Row],[open]]-[1]!BTC_data[[#This Row],[close]]&lt;0,"Bullish",TRUE,"Neutral")</f>
        <v>Bearish</v>
      </c>
      <c r="O51" s="13">
        <f>IF([1]!BTC_data[[#This Row],[CandleRange]]&gt;0,[1]!BTC_data[[#This Row],[CandleBody]]/[1]!BTC_data[[#This Row],[CandleRange]],"")</f>
        <v>0.7632805219011366</v>
      </c>
      <c r="P51" s="9" t="str" cm="1">
        <f t="array" ref="P51">_xlfn.IFS([1]!BTC_data[[#This Row],[BodyToRangeRatio]]&gt;=0.7,"Directional",[1]!BTC_data[[#This Row],[BodyToRangeRatio]]&lt;=0.3,"Indecision",TRUE,"Mixed")</f>
        <v>Directional</v>
      </c>
      <c r="Q51" s="9" t="str" cm="1">
        <f t="array" ref="Q51">_xlfn.IFS([1]!BTC_data[[#This Row],[HourUTC]]&lt;8,"Asia",[1]!BTC_data[[#This Row],[HourUTC]]&lt;13,"London",[1]!BTC_data[[#This Row],[HourUTC]]&lt;21,"New York",TRUE,"AfterHours")</f>
        <v>Asia</v>
      </c>
    </row>
    <row r="52" spans="1:17" x14ac:dyDescent="0.3">
      <c r="A52" s="5">
        <v>93520.8</v>
      </c>
      <c r="B52" s="5">
        <v>93545.8</v>
      </c>
      <c r="C52" s="5">
        <v>22359</v>
      </c>
      <c r="D52" s="5">
        <v>23.905518359999999</v>
      </c>
      <c r="E52" s="5">
        <v>329</v>
      </c>
      <c r="F52" s="5">
        <v>15324</v>
      </c>
      <c r="G52" s="5">
        <v>16.384779949999999</v>
      </c>
      <c r="H52" s="5">
        <f>[1]!BTC_data[[#This Row],[high]]-[1]!BTC_data[[#This Row],[low]]</f>
        <v>38.5</v>
      </c>
      <c r="I52" s="6">
        <f>[1]!BTC_data[[#This Row],[CandleRange]]/[1]!BTC_data[[#This Row],[open]]</f>
        <v>4.115037201005138E-4</v>
      </c>
      <c r="J52" s="7">
        <f>ABS([1]!BTC_data[[#This Row],[open]]-[1]!BTC_data[[#This Row],[close]])</f>
        <v>13.5</v>
      </c>
      <c r="K52" s="6">
        <f>[1]!BTC_data[[#This Row],[CandleBody]]/[1]!BTC_data[[#This Row],[open]]</f>
        <v>1.442935122430373E-4</v>
      </c>
      <c r="L52" s="8">
        <f>IF([1]!BTC_data[[#This Row],[CandleRange]]&gt;0,([1]!BTC_data[[#This Row],[close]]-[1]!BTC_data[[#This Row],[low]])/[1]!BTC_data[[#This Row],[CandleRange]],"")</f>
        <v>0.64935064935064934</v>
      </c>
      <c r="M52" s="8">
        <f>IF([1]!BTC_data[[#This Row],[quote_volume]]&gt;0,[1]!BTC_data[[#This Row],[taker_buy_quote_volume]]/[1]!BTC_data[[#This Row],[quote_volume]],"")</f>
        <v>0.68539739248724663</v>
      </c>
      <c r="N52" t="str" cm="1">
        <f t="array" ref="N52">_xlfn.IFS([1]!BTC_data[[#This Row],[open]]-[1]!BTC_data[[#This Row],[close]]&gt;0,"Bearish",[1]!BTC_data[[#This Row],[open]]-[1]!BTC_data[[#This Row],[close]]&lt;0,"Bullish",TRUE,"Neutral")</f>
        <v>Bearish</v>
      </c>
      <c r="O52" s="8">
        <f>IF([1]!BTC_data[[#This Row],[CandleRange]]&gt;0,[1]!BTC_data[[#This Row],[CandleBody]]/[1]!BTC_data[[#This Row],[CandleRange]],"")</f>
        <v>0.35064935064935066</v>
      </c>
      <c r="P52" s="9" t="str" cm="1">
        <f t="array" ref="P52">_xlfn.IFS([1]!BTC_data[[#This Row],[BodyToRangeRatio]]&gt;=0.7,"Directional",[1]!BTC_data[[#This Row],[BodyToRangeRatio]]&lt;=0.3,"Indecision",TRUE,"Mixed")</f>
        <v>Mixed</v>
      </c>
      <c r="Q52" s="9" t="str" cm="1">
        <f t="array" ref="Q52">_xlfn.IFS([1]!BTC_data[[#This Row],[HourUTC]]&lt;8,"Asia",[1]!BTC_data[[#This Row],[HourUTC]]&lt;13,"London",[1]!BTC_data[[#This Row],[HourUTC]]&lt;21,"New York",TRUE,"AfterHours")</f>
        <v>Asia</v>
      </c>
    </row>
    <row r="53" spans="1:17" x14ac:dyDescent="0.3">
      <c r="A53" s="10">
        <v>93511.7</v>
      </c>
      <c r="B53" s="10">
        <v>93540.800000000003</v>
      </c>
      <c r="C53" s="10">
        <v>27087</v>
      </c>
      <c r="D53" s="10">
        <v>28.958318210000002</v>
      </c>
      <c r="E53" s="10">
        <v>332</v>
      </c>
      <c r="F53" s="10">
        <v>6814</v>
      </c>
      <c r="G53" s="10">
        <v>7.2852490400000001</v>
      </c>
      <c r="H53" s="10">
        <f>[1]!BTC_data[[#This Row],[high]]-[1]!BTC_data[[#This Row],[low]]</f>
        <v>45.900000000008731</v>
      </c>
      <c r="I53" s="11">
        <f>[1]!BTC_data[[#This Row],[CandleRange]]/[1]!BTC_data[[#This Row],[open]]</f>
        <v>4.9066874194254287E-4</v>
      </c>
      <c r="J53" s="12">
        <f>ABS([1]!BTC_data[[#This Row],[open]]-[1]!BTC_data[[#This Row],[close]])</f>
        <v>5</v>
      </c>
      <c r="K53" s="11">
        <f>[1]!BTC_data[[#This Row],[CandleBody]]/[1]!BTC_data[[#This Row],[open]]</f>
        <v>5.3449754024231978E-5</v>
      </c>
      <c r="L53" s="13">
        <f>IF([1]!BTC_data[[#This Row],[CandleRange]]&gt;0,([1]!BTC_data[[#This Row],[close]]-[1]!BTC_data[[#This Row],[low]])/[1]!BTC_data[[#This Row],[CandleRange]],"")</f>
        <v>0.63398692810458135</v>
      </c>
      <c r="M53" s="13">
        <f>IF([1]!BTC_data[[#This Row],[quote_volume]]&gt;0,[1]!BTC_data[[#This Row],[taker_buy_quote_volume]]/[1]!BTC_data[[#This Row],[quote_volume]],"")</f>
        <v>0.25157707665095791</v>
      </c>
      <c r="N53" t="str" cm="1">
        <f t="array" ref="N53">_xlfn.IFS([1]!BTC_data[[#This Row],[open]]-[1]!BTC_data[[#This Row],[close]]&gt;0,"Bearish",[1]!BTC_data[[#This Row],[open]]-[1]!BTC_data[[#This Row],[close]]&lt;0,"Bullish",TRUE,"Neutral")</f>
        <v>Bearish</v>
      </c>
      <c r="O53" s="13">
        <f>IF([1]!BTC_data[[#This Row],[CandleRange]]&gt;0,[1]!BTC_data[[#This Row],[CandleBody]]/[1]!BTC_data[[#This Row],[CandleRange]],"")</f>
        <v>0.10893246187361762</v>
      </c>
      <c r="P53" s="9" t="str" cm="1">
        <f t="array" ref="P53">_xlfn.IFS([1]!BTC_data[[#This Row],[BodyToRangeRatio]]&gt;=0.7,"Directional",[1]!BTC_data[[#This Row],[BodyToRangeRatio]]&lt;=0.3,"Indecision",TRUE,"Mixed")</f>
        <v>Indecision</v>
      </c>
      <c r="Q53" s="9" t="str" cm="1">
        <f t="array" ref="Q53">_xlfn.IFS([1]!BTC_data[[#This Row],[HourUTC]]&lt;8,"Asia",[1]!BTC_data[[#This Row],[HourUTC]]&lt;13,"London",[1]!BTC_data[[#This Row],[HourUTC]]&lt;21,"New York",TRUE,"AfterHours")</f>
        <v>Asia</v>
      </c>
    </row>
    <row r="54" spans="1:17" x14ac:dyDescent="0.3">
      <c r="A54" s="5">
        <v>93530</v>
      </c>
      <c r="B54" s="5">
        <v>93535.1</v>
      </c>
      <c r="C54" s="5">
        <v>36461</v>
      </c>
      <c r="D54" s="5">
        <v>38.967614130000001</v>
      </c>
      <c r="E54" s="5">
        <v>483</v>
      </c>
      <c r="F54" s="5">
        <v>20269</v>
      </c>
      <c r="G54" s="5">
        <v>21.662928220000001</v>
      </c>
      <c r="H54" s="5">
        <f>[1]!BTC_data[[#This Row],[high]]-[1]!BTC_data[[#This Row],[low]]</f>
        <v>79.399999999994179</v>
      </c>
      <c r="I54" s="6">
        <f>[1]!BTC_data[[#This Row],[CandleRange]]/[1]!BTC_data[[#This Row],[open]]</f>
        <v>8.4876031821022938E-4</v>
      </c>
      <c r="J54" s="7">
        <f>ABS([1]!BTC_data[[#This Row],[open]]-[1]!BTC_data[[#This Row],[close]])</f>
        <v>13.099999999991269</v>
      </c>
      <c r="K54" s="6">
        <f>[1]!BTC_data[[#This Row],[CandleBody]]/[1]!BTC_data[[#This Row],[open]]</f>
        <v>1.4003476282805301E-4</v>
      </c>
      <c r="L54" s="8">
        <f>IF([1]!BTC_data[[#This Row],[CandleRange]]&gt;0,([1]!BTC_data[[#This Row],[close]]-[1]!BTC_data[[#This Row],[low]])/[1]!BTC_data[[#This Row],[CandleRange]],"")</f>
        <v>6.4231738035342503E-2</v>
      </c>
      <c r="M54" s="8">
        <f>IF([1]!BTC_data[[#This Row],[quote_volume]]&gt;0,[1]!BTC_data[[#This Row],[taker_buy_quote_volume]]/[1]!BTC_data[[#This Row],[quote_volume]],"")</f>
        <v>0.55592133887720774</v>
      </c>
      <c r="N54" t="str" cm="1">
        <f t="array" ref="N54">_xlfn.IFS([1]!BTC_data[[#This Row],[open]]-[1]!BTC_data[[#This Row],[close]]&gt;0,"Bearish",[1]!BTC_data[[#This Row],[open]]-[1]!BTC_data[[#This Row],[close]]&lt;0,"Bullish",TRUE,"Neutral")</f>
        <v>Bearish</v>
      </c>
      <c r="O54" s="8">
        <f>IF([1]!BTC_data[[#This Row],[CandleRange]]&gt;0,[1]!BTC_data[[#This Row],[CandleBody]]/[1]!BTC_data[[#This Row],[CandleRange]],"")</f>
        <v>0.16498740554146385</v>
      </c>
      <c r="P54" s="9" t="str" cm="1">
        <f t="array" ref="P54">_xlfn.IFS([1]!BTC_data[[#This Row],[BodyToRangeRatio]]&gt;=0.7,"Directional",[1]!BTC_data[[#This Row],[BodyToRangeRatio]]&lt;=0.3,"Indecision",TRUE,"Mixed")</f>
        <v>Indecision</v>
      </c>
      <c r="Q54" s="9" t="str" cm="1">
        <f t="array" ref="Q54">_xlfn.IFS([1]!BTC_data[[#This Row],[HourUTC]]&lt;8,"Asia",[1]!BTC_data[[#This Row],[HourUTC]]&lt;13,"London",[1]!BTC_data[[#This Row],[HourUTC]]&lt;21,"New York",TRUE,"AfterHours")</f>
        <v>Asia</v>
      </c>
    </row>
    <row r="55" spans="1:17" x14ac:dyDescent="0.3">
      <c r="A55" s="10">
        <v>93535.1</v>
      </c>
      <c r="B55" s="10">
        <v>93567.5</v>
      </c>
      <c r="C55" s="10">
        <v>6740</v>
      </c>
      <c r="D55" s="10">
        <v>7.2035882600000001</v>
      </c>
      <c r="E55" s="10">
        <v>157</v>
      </c>
      <c r="F55" s="10">
        <v>2302</v>
      </c>
      <c r="G55" s="10">
        <v>2.4607287599999998</v>
      </c>
      <c r="H55" s="10">
        <f>[1]!BTC_data[[#This Row],[high]]-[1]!BTC_data[[#This Row],[low]]</f>
        <v>49.599999999991269</v>
      </c>
      <c r="I55" s="11">
        <f>[1]!BTC_data[[#This Row],[CandleRange]]/[1]!BTC_data[[#This Row],[open]]</f>
        <v>5.3028221491174181E-4</v>
      </c>
      <c r="J55" s="12">
        <f>ABS([1]!BTC_data[[#This Row],[open]]-[1]!BTC_data[[#This Row],[close]])</f>
        <v>32.399999999994179</v>
      </c>
      <c r="K55" s="11">
        <f>[1]!BTC_data[[#This Row],[CandleBody]]/[1]!BTC_data[[#This Row],[open]]</f>
        <v>3.4639402748266884E-4</v>
      </c>
      <c r="L55" s="13">
        <f>IF([1]!BTC_data[[#This Row],[CandleRange]]&gt;0,([1]!BTC_data[[#This Row],[close]]-[1]!BTC_data[[#This Row],[low]])/[1]!BTC_data[[#This Row],[CandleRange]],"")</f>
        <v>0.65322580645161055</v>
      </c>
      <c r="M55" s="13">
        <f>IF([1]!BTC_data[[#This Row],[quote_volume]]&gt;0,[1]!BTC_data[[#This Row],[taker_buy_quote_volume]]/[1]!BTC_data[[#This Row],[quote_volume]],"")</f>
        <v>0.34159764150651217</v>
      </c>
      <c r="N55" t="str" cm="1">
        <f t="array" ref="N55">_xlfn.IFS([1]!BTC_data[[#This Row],[open]]-[1]!BTC_data[[#This Row],[close]]&gt;0,"Bearish",[1]!BTC_data[[#This Row],[open]]-[1]!BTC_data[[#This Row],[close]]&lt;0,"Bullish",TRUE,"Neutral")</f>
        <v>Bullish</v>
      </c>
      <c r="O55" s="13">
        <f>IF([1]!BTC_data[[#This Row],[CandleRange]]&gt;0,[1]!BTC_data[[#This Row],[CandleBody]]/[1]!BTC_data[[#This Row],[CandleRange]],"")</f>
        <v>0.65322580645161055</v>
      </c>
      <c r="P55" s="9" t="str" cm="1">
        <f t="array" ref="P55">_xlfn.IFS([1]!BTC_data[[#This Row],[BodyToRangeRatio]]&gt;=0.7,"Directional",[1]!BTC_data[[#This Row],[BodyToRangeRatio]]&lt;=0.3,"Indecision",TRUE,"Mixed")</f>
        <v>Mixed</v>
      </c>
      <c r="Q55" s="9" t="str" cm="1">
        <f t="array" ref="Q55">_xlfn.IFS([1]!BTC_data[[#This Row],[HourUTC]]&lt;8,"Asia",[1]!BTC_data[[#This Row],[HourUTC]]&lt;13,"London",[1]!BTC_data[[#This Row],[HourUTC]]&lt;21,"New York",TRUE,"AfterHours")</f>
        <v>Asia</v>
      </c>
    </row>
    <row r="56" spans="1:17" x14ac:dyDescent="0.3">
      <c r="A56" s="5">
        <v>93505.5</v>
      </c>
      <c r="B56" s="5">
        <v>93510.399999999994</v>
      </c>
      <c r="C56" s="5">
        <v>14345</v>
      </c>
      <c r="D56" s="5">
        <v>15.33527589</v>
      </c>
      <c r="E56" s="5">
        <v>330</v>
      </c>
      <c r="F56" s="5">
        <v>5613</v>
      </c>
      <c r="G56" s="5">
        <v>6.0010627100000002</v>
      </c>
      <c r="H56" s="5">
        <f>[1]!BTC_data[[#This Row],[high]]-[1]!BTC_data[[#This Row],[low]]</f>
        <v>62.100000000005821</v>
      </c>
      <c r="I56" s="6">
        <f>[1]!BTC_data[[#This Row],[CandleRange]]/[1]!BTC_data[[#This Row],[open]]</f>
        <v>6.6369198706822154E-4</v>
      </c>
      <c r="J56" s="7">
        <f>ABS([1]!BTC_data[[#This Row],[open]]-[1]!BTC_data[[#This Row],[close]])</f>
        <v>57.100000000005821</v>
      </c>
      <c r="K56" s="6">
        <f>[1]!BTC_data[[#This Row],[CandleBody]]/[1]!BTC_data[[#This Row],[open]]</f>
        <v>6.1025462901120387E-4</v>
      </c>
      <c r="L56" s="8">
        <f>IF([1]!BTC_data[[#This Row],[CandleRange]]&gt;0,([1]!BTC_data[[#This Row],[close]]-[1]!BTC_data[[#This Row],[low]])/[1]!BTC_data[[#This Row],[CandleRange]],"")</f>
        <v>7.8904991948369085E-2</v>
      </c>
      <c r="M56" s="8">
        <f>IF([1]!BTC_data[[#This Row],[quote_volume]]&gt;0,[1]!BTC_data[[#This Row],[taker_buy_quote_volume]]/[1]!BTC_data[[#This Row],[quote_volume]],"")</f>
        <v>0.39132407874795661</v>
      </c>
      <c r="N56" t="str" cm="1">
        <f t="array" ref="N56">_xlfn.IFS([1]!BTC_data[[#This Row],[open]]-[1]!BTC_data[[#This Row],[close]]&gt;0,"Bearish",[1]!BTC_data[[#This Row],[open]]-[1]!BTC_data[[#This Row],[close]]&lt;0,"Bullish",TRUE,"Neutral")</f>
        <v>Bearish</v>
      </c>
      <c r="O56" s="8">
        <f>IF([1]!BTC_data[[#This Row],[CandleRange]]&gt;0,[1]!BTC_data[[#This Row],[CandleBody]]/[1]!BTC_data[[#This Row],[CandleRange]],"")</f>
        <v>0.91948470209340527</v>
      </c>
      <c r="P56" s="9" t="str" cm="1">
        <f t="array" ref="P56">_xlfn.IFS([1]!BTC_data[[#This Row],[BodyToRangeRatio]]&gt;=0.7,"Directional",[1]!BTC_data[[#This Row],[BodyToRangeRatio]]&lt;=0.3,"Indecision",TRUE,"Mixed")</f>
        <v>Directional</v>
      </c>
      <c r="Q56" s="9" t="str" cm="1">
        <f t="array" ref="Q56">_xlfn.IFS([1]!BTC_data[[#This Row],[HourUTC]]&lt;8,"Asia",[1]!BTC_data[[#This Row],[HourUTC]]&lt;13,"London",[1]!BTC_data[[#This Row],[HourUTC]]&lt;21,"New York",TRUE,"AfterHours")</f>
        <v>Asia</v>
      </c>
    </row>
    <row r="57" spans="1:17" x14ac:dyDescent="0.3">
      <c r="A57" s="10">
        <v>93456</v>
      </c>
      <c r="B57" s="10">
        <v>93473.8</v>
      </c>
      <c r="C57" s="10">
        <v>22503</v>
      </c>
      <c r="D57" s="10">
        <v>24.071200309999998</v>
      </c>
      <c r="E57" s="10">
        <v>343</v>
      </c>
      <c r="F57" s="10">
        <v>5462</v>
      </c>
      <c r="G57" s="10">
        <v>5.8433220500000003</v>
      </c>
      <c r="H57" s="10">
        <f>[1]!BTC_data[[#This Row],[high]]-[1]!BTC_data[[#This Row],[low]]</f>
        <v>58.899999999994179</v>
      </c>
      <c r="I57" s="11">
        <f>[1]!BTC_data[[#This Row],[CandleRange]]/[1]!BTC_data[[#This Row],[open]]</f>
        <v>6.2984615285900094E-4</v>
      </c>
      <c r="J57" s="12">
        <f>ABS([1]!BTC_data[[#This Row],[open]]-[1]!BTC_data[[#This Row],[close]])</f>
        <v>41.099999999991269</v>
      </c>
      <c r="K57" s="11">
        <f>[1]!BTC_data[[#This Row],[CandleBody]]/[1]!BTC_data[[#This Row],[open]]</f>
        <v>4.3950215420207123E-4</v>
      </c>
      <c r="L57" s="13">
        <f>IF([1]!BTC_data[[#This Row],[CandleRange]]&gt;0,([1]!BTC_data[[#This Row],[close]]-[1]!BTC_data[[#This Row],[low]])/[1]!BTC_data[[#This Row],[CandleRange]],"")</f>
        <v>0.30220713073013022</v>
      </c>
      <c r="M57" s="13">
        <f>IF([1]!BTC_data[[#This Row],[quote_volume]]&gt;0,[1]!BTC_data[[#This Row],[taker_buy_quote_volume]]/[1]!BTC_data[[#This Row],[quote_volume]],"")</f>
        <v>0.24275158590959359</v>
      </c>
      <c r="N57" t="str" cm="1">
        <f t="array" ref="N57">_xlfn.IFS([1]!BTC_data[[#This Row],[open]]-[1]!BTC_data[[#This Row],[close]]&gt;0,"Bearish",[1]!BTC_data[[#This Row],[open]]-[1]!BTC_data[[#This Row],[close]]&lt;0,"Bullish",TRUE,"Neutral")</f>
        <v>Bearish</v>
      </c>
      <c r="O57" s="13">
        <f>IF([1]!BTC_data[[#This Row],[CandleRange]]&gt;0,[1]!BTC_data[[#This Row],[CandleBody]]/[1]!BTC_data[[#This Row],[CandleRange]],"")</f>
        <v>0.69779286926986983</v>
      </c>
      <c r="P57" s="9" t="str" cm="1">
        <f t="array" ref="P57">_xlfn.IFS([1]!BTC_data[[#This Row],[BodyToRangeRatio]]&gt;=0.7,"Directional",[1]!BTC_data[[#This Row],[BodyToRangeRatio]]&lt;=0.3,"Indecision",TRUE,"Mixed")</f>
        <v>Mixed</v>
      </c>
      <c r="Q57" s="9" t="str" cm="1">
        <f t="array" ref="Q57">_xlfn.IFS([1]!BTC_data[[#This Row],[HourUTC]]&lt;8,"Asia",[1]!BTC_data[[#This Row],[HourUTC]]&lt;13,"London",[1]!BTC_data[[#This Row],[HourUTC]]&lt;21,"New York",TRUE,"AfterHours")</f>
        <v>Asia</v>
      </c>
    </row>
    <row r="58" spans="1:17" x14ac:dyDescent="0.3">
      <c r="A58" s="5">
        <v>93464</v>
      </c>
      <c r="B58" s="5">
        <v>93480.6</v>
      </c>
      <c r="C58" s="5">
        <v>3566</v>
      </c>
      <c r="D58" s="5">
        <v>3.8149814399999999</v>
      </c>
      <c r="E58" s="5">
        <v>113</v>
      </c>
      <c r="F58" s="5">
        <v>3286</v>
      </c>
      <c r="G58" s="5">
        <v>3.5154404399999999</v>
      </c>
      <c r="H58" s="5">
        <f>[1]!BTC_data[[#This Row],[high]]-[1]!BTC_data[[#This Row],[low]]</f>
        <v>17.30000000000291</v>
      </c>
      <c r="I58" s="6">
        <f>[1]!BTC_data[[#This Row],[CandleRange]]/[1]!BTC_data[[#This Row],[open]]</f>
        <v>1.8507859956482897E-4</v>
      </c>
      <c r="J58" s="7">
        <f>ABS([1]!BTC_data[[#This Row],[open]]-[1]!BTC_data[[#This Row],[close]])</f>
        <v>6.8000000000029104</v>
      </c>
      <c r="K58" s="6">
        <f>[1]!BTC_data[[#This Row],[CandleBody]]/[1]!BTC_data[[#This Row],[open]]</f>
        <v>7.2747657632437222E-5</v>
      </c>
      <c r="L58" s="8">
        <f>IF([1]!BTC_data[[#This Row],[CandleRange]]&gt;0,([1]!BTC_data[[#This Row],[close]]-[1]!BTC_data[[#This Row],[low]])/[1]!BTC_data[[#This Row],[CandleRange]],"")</f>
        <v>0.95953757225451031</v>
      </c>
      <c r="M58" s="8">
        <f>IF([1]!BTC_data[[#This Row],[quote_volume]]&gt;0,[1]!BTC_data[[#This Row],[taker_buy_quote_volume]]/[1]!BTC_data[[#This Row],[quote_volume]],"")</f>
        <v>0.92148297319108319</v>
      </c>
      <c r="N58" t="str" cm="1">
        <f t="array" ref="N58">_xlfn.IFS([1]!BTC_data[[#This Row],[open]]-[1]!BTC_data[[#This Row],[close]]&gt;0,"Bearish",[1]!BTC_data[[#This Row],[open]]-[1]!BTC_data[[#This Row],[close]]&lt;0,"Bullish",TRUE,"Neutral")</f>
        <v>Bullish</v>
      </c>
      <c r="O58" s="8">
        <f>IF([1]!BTC_data[[#This Row],[CandleRange]]&gt;0,[1]!BTC_data[[#This Row],[CandleBody]]/[1]!BTC_data[[#This Row],[CandleRange]],"")</f>
        <v>0.39306358381513101</v>
      </c>
      <c r="P58" s="9" t="str" cm="1">
        <f t="array" ref="P58">_xlfn.IFS([1]!BTC_data[[#This Row],[BodyToRangeRatio]]&gt;=0.7,"Directional",[1]!BTC_data[[#This Row],[BodyToRangeRatio]]&lt;=0.3,"Indecision",TRUE,"Mixed")</f>
        <v>Mixed</v>
      </c>
      <c r="Q58" s="9" t="str" cm="1">
        <f t="array" ref="Q58">_xlfn.IFS([1]!BTC_data[[#This Row],[HourUTC]]&lt;8,"Asia",[1]!BTC_data[[#This Row],[HourUTC]]&lt;13,"London",[1]!BTC_data[[#This Row],[HourUTC]]&lt;21,"New York",TRUE,"AfterHours")</f>
        <v>Asia</v>
      </c>
    </row>
    <row r="59" spans="1:17" x14ac:dyDescent="0.3">
      <c r="A59" s="10">
        <v>93444.4</v>
      </c>
      <c r="B59" s="10">
        <v>93475.199999999997</v>
      </c>
      <c r="C59" s="10">
        <v>13197</v>
      </c>
      <c r="D59" s="10">
        <v>14.118833540000001</v>
      </c>
      <c r="E59" s="10">
        <v>295</v>
      </c>
      <c r="F59" s="10">
        <v>9535</v>
      </c>
      <c r="G59" s="10">
        <v>10.200890490000001</v>
      </c>
      <c r="H59" s="10">
        <f>[1]!BTC_data[[#This Row],[high]]-[1]!BTC_data[[#This Row],[low]]</f>
        <v>64</v>
      </c>
      <c r="I59" s="11">
        <f>[1]!BTC_data[[#This Row],[CandleRange]]/[1]!BTC_data[[#This Row],[open]]</f>
        <v>6.8463403101820053E-4</v>
      </c>
      <c r="J59" s="12">
        <f>ABS([1]!BTC_data[[#This Row],[open]]-[1]!BTC_data[[#This Row],[close]])</f>
        <v>5.4000000000087311</v>
      </c>
      <c r="K59" s="11">
        <f>[1]!BTC_data[[#This Row],[CandleBody]]/[1]!BTC_data[[#This Row],[open]]</f>
        <v>5.776599636725407E-5</v>
      </c>
      <c r="L59" s="13">
        <f>IF([1]!BTC_data[[#This Row],[CandleRange]]&gt;0,([1]!BTC_data[[#This Row],[close]]-[1]!BTC_data[[#This Row],[low]])/[1]!BTC_data[[#This Row],[CandleRange]],"")</f>
        <v>0.48125000000004547</v>
      </c>
      <c r="M59" s="13">
        <f>IF([1]!BTC_data[[#This Row],[quote_volume]]&gt;0,[1]!BTC_data[[#This Row],[taker_buy_quote_volume]]/[1]!BTC_data[[#This Row],[quote_volume]],"")</f>
        <v>0.72250235553099385</v>
      </c>
      <c r="N59" t="str" cm="1">
        <f t="array" ref="N59">_xlfn.IFS([1]!BTC_data[[#This Row],[open]]-[1]!BTC_data[[#This Row],[close]]&gt;0,"Bearish",[1]!BTC_data[[#This Row],[open]]-[1]!BTC_data[[#This Row],[close]]&lt;0,"Bullish",TRUE,"Neutral")</f>
        <v>Bearish</v>
      </c>
      <c r="O59" s="13">
        <f>IF([1]!BTC_data[[#This Row],[CandleRange]]&gt;0,[1]!BTC_data[[#This Row],[CandleBody]]/[1]!BTC_data[[#This Row],[CandleRange]],"")</f>
        <v>8.4375000000136424E-2</v>
      </c>
      <c r="P59" s="9" t="str" cm="1">
        <f t="array" ref="P59">_xlfn.IFS([1]!BTC_data[[#This Row],[BodyToRangeRatio]]&gt;=0.7,"Directional",[1]!BTC_data[[#This Row],[BodyToRangeRatio]]&lt;=0.3,"Indecision",TRUE,"Mixed")</f>
        <v>Indecision</v>
      </c>
      <c r="Q59" s="9" t="str" cm="1">
        <f t="array" ref="Q59">_xlfn.IFS([1]!BTC_data[[#This Row],[HourUTC]]&lt;8,"Asia",[1]!BTC_data[[#This Row],[HourUTC]]&lt;13,"London",[1]!BTC_data[[#This Row],[HourUTC]]&lt;21,"New York",TRUE,"AfterHours")</f>
        <v>Asia</v>
      </c>
    </row>
    <row r="60" spans="1:17" x14ac:dyDescent="0.3">
      <c r="A60" s="5">
        <v>93464</v>
      </c>
      <c r="B60" s="5">
        <v>93484</v>
      </c>
      <c r="C60" s="5">
        <v>11512</v>
      </c>
      <c r="D60" s="5">
        <v>12.314187950000001</v>
      </c>
      <c r="E60" s="5">
        <v>230</v>
      </c>
      <c r="F60" s="5">
        <v>8178</v>
      </c>
      <c r="G60" s="5">
        <v>8.7480573600000007</v>
      </c>
      <c r="H60" s="5">
        <f>[1]!BTC_data[[#This Row],[high]]-[1]!BTC_data[[#This Row],[low]]</f>
        <v>42.5</v>
      </c>
      <c r="I60" s="6">
        <f>[1]!BTC_data[[#This Row],[CandleRange]]/[1]!BTC_data[[#This Row],[open]]</f>
        <v>4.5466605046044301E-4</v>
      </c>
      <c r="J60" s="7">
        <f>ABS([1]!BTC_data[[#This Row],[open]]-[1]!BTC_data[[#This Row],[close]])</f>
        <v>8.8000000000029104</v>
      </c>
      <c r="K60" s="6">
        <f>[1]!BTC_data[[#This Row],[CandleBody]]/[1]!BTC_data[[#This Row],[open]]</f>
        <v>9.4142617507134626E-5</v>
      </c>
      <c r="L60" s="8">
        <f>IF([1]!BTC_data[[#This Row],[CandleRange]]&gt;0,([1]!BTC_data[[#This Row],[close]]-[1]!BTC_data[[#This Row],[low]])/[1]!BTC_data[[#This Row],[CandleRange]],"")</f>
        <v>0.47058823529411764</v>
      </c>
      <c r="M60" s="8">
        <f>IF([1]!BTC_data[[#This Row],[quote_volume]]&gt;0,[1]!BTC_data[[#This Row],[taker_buy_quote_volume]]/[1]!BTC_data[[#This Row],[quote_volume]],"")</f>
        <v>0.71040472952989153</v>
      </c>
      <c r="N60" t="str" cm="1">
        <f t="array" ref="N60">_xlfn.IFS([1]!BTC_data[[#This Row],[open]]-[1]!BTC_data[[#This Row],[close]]&gt;0,"Bearish",[1]!BTC_data[[#This Row],[open]]-[1]!BTC_data[[#This Row],[close]]&lt;0,"Bullish",TRUE,"Neutral")</f>
        <v>Bullish</v>
      </c>
      <c r="O60" s="8">
        <f>IF([1]!BTC_data[[#This Row],[CandleRange]]&gt;0,[1]!BTC_data[[#This Row],[CandleBody]]/[1]!BTC_data[[#This Row],[CandleRange]],"")</f>
        <v>0.20705882352948024</v>
      </c>
      <c r="P60" s="9" t="str" cm="1">
        <f t="array" ref="P60">_xlfn.IFS([1]!BTC_data[[#This Row],[BodyToRangeRatio]]&gt;=0.7,"Directional",[1]!BTC_data[[#This Row],[BodyToRangeRatio]]&lt;=0.3,"Indecision",TRUE,"Mixed")</f>
        <v>Indecision</v>
      </c>
      <c r="Q60" s="9" t="str" cm="1">
        <f t="array" ref="Q60">_xlfn.IFS([1]!BTC_data[[#This Row],[HourUTC]]&lt;8,"Asia",[1]!BTC_data[[#This Row],[HourUTC]]&lt;13,"London",[1]!BTC_data[[#This Row],[HourUTC]]&lt;21,"New York",TRUE,"AfterHours")</f>
        <v>Asia</v>
      </c>
    </row>
    <row r="61" spans="1:17" x14ac:dyDescent="0.3">
      <c r="A61" s="10">
        <v>93371.1</v>
      </c>
      <c r="B61" s="10">
        <v>93393.7</v>
      </c>
      <c r="C61" s="10">
        <v>23200</v>
      </c>
      <c r="D61" s="10">
        <v>24.83274304</v>
      </c>
      <c r="E61" s="10">
        <v>411</v>
      </c>
      <c r="F61" s="10">
        <v>7813</v>
      </c>
      <c r="G61" s="10">
        <v>8.3612980599999993</v>
      </c>
      <c r="H61" s="10">
        <f>[1]!BTC_data[[#This Row],[high]]-[1]!BTC_data[[#This Row],[low]]</f>
        <v>135.39999999999418</v>
      </c>
      <c r="I61" s="11">
        <f>[1]!BTC_data[[#This Row],[CandleRange]]/[1]!BTC_data[[#This Row],[open]]</f>
        <v>1.4483746433884925E-3</v>
      </c>
      <c r="J61" s="12">
        <f>ABS([1]!BTC_data[[#This Row],[open]]-[1]!BTC_data[[#This Row],[close]])</f>
        <v>90.400000000008731</v>
      </c>
      <c r="K61" s="11">
        <f>[1]!BTC_data[[#This Row],[CandleBody]]/[1]!BTC_data[[#This Row],[open]]</f>
        <v>9.6700936308964549E-4</v>
      </c>
      <c r="L61" s="13">
        <f>IF([1]!BTC_data[[#This Row],[CandleRange]]&gt;0,([1]!BTC_data[[#This Row],[close]]-[1]!BTC_data[[#This Row],[low]])/[1]!BTC_data[[#This Row],[CandleRange]],"")</f>
        <v>0.16691285081235038</v>
      </c>
      <c r="M61" s="13">
        <f>IF([1]!BTC_data[[#This Row],[quote_volume]]&gt;0,[1]!BTC_data[[#This Row],[taker_buy_quote_volume]]/[1]!BTC_data[[#This Row],[quote_volume]],"")</f>
        <v>0.33670456970991147</v>
      </c>
      <c r="N61" t="str" cm="1">
        <f t="array" ref="N61">_xlfn.IFS([1]!BTC_data[[#This Row],[open]]-[1]!BTC_data[[#This Row],[close]]&gt;0,"Bearish",[1]!BTC_data[[#This Row],[open]]-[1]!BTC_data[[#This Row],[close]]&lt;0,"Bullish",TRUE,"Neutral")</f>
        <v>Bearish</v>
      </c>
      <c r="O61" s="13">
        <f>IF([1]!BTC_data[[#This Row],[CandleRange]]&gt;0,[1]!BTC_data[[#This Row],[CandleBody]]/[1]!BTC_data[[#This Row],[CandleRange]],"")</f>
        <v>0.66765140324972394</v>
      </c>
      <c r="P61" s="9" t="str" cm="1">
        <f t="array" ref="P61">_xlfn.IFS([1]!BTC_data[[#This Row],[BodyToRangeRatio]]&gt;=0.7,"Directional",[1]!BTC_data[[#This Row],[BodyToRangeRatio]]&lt;=0.3,"Indecision",TRUE,"Mixed")</f>
        <v>Mixed</v>
      </c>
      <c r="Q61" s="9" t="str" cm="1">
        <f t="array" ref="Q61">_xlfn.IFS([1]!BTC_data[[#This Row],[HourUTC]]&lt;8,"Asia",[1]!BTC_data[[#This Row],[HourUTC]]&lt;13,"London",[1]!BTC_data[[#This Row],[HourUTC]]&lt;21,"New York",TRUE,"AfterHours")</f>
        <v>Asia</v>
      </c>
    </row>
    <row r="62" spans="1:17" x14ac:dyDescent="0.3">
      <c r="A62" s="5">
        <v>93379</v>
      </c>
      <c r="B62" s="5">
        <v>93417.5</v>
      </c>
      <c r="C62" s="5">
        <v>24288</v>
      </c>
      <c r="D62" s="5">
        <v>26.003768640000001</v>
      </c>
      <c r="E62" s="5">
        <v>269</v>
      </c>
      <c r="F62" s="5">
        <v>10819</v>
      </c>
      <c r="G62" s="5">
        <v>11.58357887</v>
      </c>
      <c r="H62" s="5">
        <f>[1]!BTC_data[[#This Row],[high]]-[1]!BTC_data[[#This Row],[low]]</f>
        <v>43.600000000005821</v>
      </c>
      <c r="I62" s="6">
        <f>[1]!BTC_data[[#This Row],[CandleRange]]/[1]!BTC_data[[#This Row],[open]]</f>
        <v>4.6684091111076897E-4</v>
      </c>
      <c r="J62" s="7">
        <f>ABS([1]!BTC_data[[#This Row],[open]]-[1]!BTC_data[[#This Row],[close]])</f>
        <v>23.80000000000291</v>
      </c>
      <c r="K62" s="6">
        <f>[1]!BTC_data[[#This Row],[CandleBody]]/[1]!BTC_data[[#This Row],[open]]</f>
        <v>2.5483517624853613E-4</v>
      </c>
      <c r="L62" s="8">
        <f>IF([1]!BTC_data[[#This Row],[CandleRange]]&gt;0,([1]!BTC_data[[#This Row],[close]]-[1]!BTC_data[[#This Row],[low]])/[1]!BTC_data[[#This Row],[CandleRange]],"")</f>
        <v>0.88302752293566189</v>
      </c>
      <c r="M62" s="8">
        <f>IF([1]!BTC_data[[#This Row],[quote_volume]]&gt;0,[1]!BTC_data[[#This Row],[taker_buy_quote_volume]]/[1]!BTC_data[[#This Row],[quote_volume]],"")</f>
        <v>0.44545769616568931</v>
      </c>
      <c r="N62" t="str" cm="1">
        <f t="array" ref="N62">_xlfn.IFS([1]!BTC_data[[#This Row],[open]]-[1]!BTC_data[[#This Row],[close]]&gt;0,"Bearish",[1]!BTC_data[[#This Row],[open]]-[1]!BTC_data[[#This Row],[close]]&lt;0,"Bullish",TRUE,"Neutral")</f>
        <v>Bullish</v>
      </c>
      <c r="O62" s="8">
        <f>IF([1]!BTC_data[[#This Row],[CandleRange]]&gt;0,[1]!BTC_data[[#This Row],[CandleBody]]/[1]!BTC_data[[#This Row],[CandleRange]],"")</f>
        <v>0.54587155963302136</v>
      </c>
      <c r="P62" s="9" t="str" cm="1">
        <f t="array" ref="P62">_xlfn.IFS([1]!BTC_data[[#This Row],[BodyToRangeRatio]]&gt;=0.7,"Directional",[1]!BTC_data[[#This Row],[BodyToRangeRatio]]&lt;=0.3,"Indecision",TRUE,"Mixed")</f>
        <v>Mixed</v>
      </c>
      <c r="Q62" s="9" t="str" cm="1">
        <f t="array" ref="Q62">_xlfn.IFS([1]!BTC_data[[#This Row],[HourUTC]]&lt;8,"Asia",[1]!BTC_data[[#This Row],[HourUTC]]&lt;13,"London",[1]!BTC_data[[#This Row],[HourUTC]]&lt;21,"New York",TRUE,"AfterHours")</f>
        <v>Asia</v>
      </c>
    </row>
    <row r="63" spans="1:17" x14ac:dyDescent="0.3">
      <c r="A63" s="10">
        <v>93411.9</v>
      </c>
      <c r="B63" s="10">
        <v>93411.9</v>
      </c>
      <c r="C63" s="10">
        <v>12336</v>
      </c>
      <c r="D63" s="10">
        <v>13.202672209999999</v>
      </c>
      <c r="E63" s="10">
        <v>250</v>
      </c>
      <c r="F63" s="10">
        <v>6026</v>
      </c>
      <c r="G63" s="10">
        <v>6.4496018299999998</v>
      </c>
      <c r="H63" s="10">
        <f>[1]!BTC_data[[#This Row],[high]]-[1]!BTC_data[[#This Row],[low]]</f>
        <v>36.400000000008731</v>
      </c>
      <c r="I63" s="11">
        <f>[1]!BTC_data[[#This Row],[CandleRange]]/[1]!BTC_data[[#This Row],[open]]</f>
        <v>3.8964820333650972E-4</v>
      </c>
      <c r="J63" s="12">
        <f>ABS([1]!BTC_data[[#This Row],[open]]-[1]!BTC_data[[#This Row],[close]])</f>
        <v>5.7000000000116415</v>
      </c>
      <c r="K63" s="11">
        <f>[1]!BTC_data[[#This Row],[CandleBody]]/[1]!BTC_data[[#This Row],[open]]</f>
        <v>6.1016339533574413E-5</v>
      </c>
      <c r="L63" s="13">
        <f>IF([1]!BTC_data[[#This Row],[CandleRange]]&gt;0,([1]!BTC_data[[#This Row],[close]]-[1]!BTC_data[[#This Row],[low]])/[1]!BTC_data[[#This Row],[CandleRange]],"")</f>
        <v>0</v>
      </c>
      <c r="M63" s="13">
        <f>IF([1]!BTC_data[[#This Row],[quote_volume]]&gt;0,[1]!BTC_data[[#This Row],[taker_buy_quote_volume]]/[1]!BTC_data[[#This Row],[quote_volume]],"")</f>
        <v>0.48850730574943207</v>
      </c>
      <c r="N63" t="str" cm="1">
        <f t="array" ref="N63">_xlfn.IFS([1]!BTC_data[[#This Row],[open]]-[1]!BTC_data[[#This Row],[close]]&gt;0,"Bearish",[1]!BTC_data[[#This Row],[open]]-[1]!BTC_data[[#This Row],[close]]&lt;0,"Bullish",TRUE,"Neutral")</f>
        <v>Bearish</v>
      </c>
      <c r="O63" s="13">
        <f>IF([1]!BTC_data[[#This Row],[CandleRange]]&gt;0,[1]!BTC_data[[#This Row],[CandleBody]]/[1]!BTC_data[[#This Row],[CandleRange]],"")</f>
        <v>0.15659340659368887</v>
      </c>
      <c r="P63" s="9" t="str" cm="1">
        <f t="array" ref="P63">_xlfn.IFS([1]!BTC_data[[#This Row],[BodyToRangeRatio]]&gt;=0.7,"Directional",[1]!BTC_data[[#This Row],[BodyToRangeRatio]]&lt;=0.3,"Indecision",TRUE,"Mixed")</f>
        <v>Indecision</v>
      </c>
      <c r="Q63" s="9" t="str" cm="1">
        <f t="array" ref="Q63">_xlfn.IFS([1]!BTC_data[[#This Row],[HourUTC]]&lt;8,"Asia",[1]!BTC_data[[#This Row],[HourUTC]]&lt;13,"London",[1]!BTC_data[[#This Row],[HourUTC]]&lt;21,"New York",TRUE,"AfterHours")</f>
        <v>Asia</v>
      </c>
    </row>
    <row r="64" spans="1:17" x14ac:dyDescent="0.3">
      <c r="A64" s="5">
        <v>93409.5</v>
      </c>
      <c r="B64" s="5">
        <v>93461.8</v>
      </c>
      <c r="C64" s="5">
        <v>11037</v>
      </c>
      <c r="D64" s="5">
        <v>11.80918082</v>
      </c>
      <c r="E64" s="5">
        <v>271</v>
      </c>
      <c r="F64" s="5">
        <v>8085</v>
      </c>
      <c r="G64" s="5">
        <v>8.6518093900000004</v>
      </c>
      <c r="H64" s="5">
        <f>[1]!BTC_data[[#This Row],[high]]-[1]!BTC_data[[#This Row],[low]]</f>
        <v>102.5</v>
      </c>
      <c r="I64" s="6">
        <f>[1]!BTC_data[[#This Row],[CandleRange]]/[1]!BTC_data[[#This Row],[open]]</f>
        <v>1.0973187951974907E-3</v>
      </c>
      <c r="J64" s="7">
        <f>ABS([1]!BTC_data[[#This Row],[open]]-[1]!BTC_data[[#This Row],[close]])</f>
        <v>52.30000000000291</v>
      </c>
      <c r="K64" s="6">
        <f>[1]!BTC_data[[#This Row],[CandleBody]]/[1]!BTC_data[[#This Row],[open]]</f>
        <v>5.5990022428128734E-4</v>
      </c>
      <c r="L64" s="8">
        <f>IF([1]!BTC_data[[#This Row],[CandleRange]]&gt;0,([1]!BTC_data[[#This Row],[close]]-[1]!BTC_data[[#This Row],[low]])/[1]!BTC_data[[#This Row],[CandleRange]],"")</f>
        <v>0.51024390243905282</v>
      </c>
      <c r="M64" s="8">
        <f>IF([1]!BTC_data[[#This Row],[quote_volume]]&gt;0,[1]!BTC_data[[#This Row],[taker_buy_quote_volume]]/[1]!BTC_data[[#This Row],[quote_volume]],"")</f>
        <v>0.73263417013204823</v>
      </c>
      <c r="N64" t="str" cm="1">
        <f t="array" ref="N64">_xlfn.IFS([1]!BTC_data[[#This Row],[open]]-[1]!BTC_data[[#This Row],[close]]&gt;0,"Bearish",[1]!BTC_data[[#This Row],[open]]-[1]!BTC_data[[#This Row],[close]]&lt;0,"Bullish",TRUE,"Neutral")</f>
        <v>Bullish</v>
      </c>
      <c r="O64" s="8">
        <f>IF([1]!BTC_data[[#This Row],[CandleRange]]&gt;0,[1]!BTC_data[[#This Row],[CandleBody]]/[1]!BTC_data[[#This Row],[CandleRange]],"")</f>
        <v>0.51024390243905282</v>
      </c>
      <c r="P64" s="9" t="str" cm="1">
        <f t="array" ref="P64">_xlfn.IFS([1]!BTC_data[[#This Row],[BodyToRangeRatio]]&gt;=0.7,"Directional",[1]!BTC_data[[#This Row],[BodyToRangeRatio]]&lt;=0.3,"Indecision",TRUE,"Mixed")</f>
        <v>Mixed</v>
      </c>
      <c r="Q64" s="9" t="str" cm="1">
        <f t="array" ref="Q64">_xlfn.IFS([1]!BTC_data[[#This Row],[HourUTC]]&lt;8,"Asia",[1]!BTC_data[[#This Row],[HourUTC]]&lt;13,"London",[1]!BTC_data[[#This Row],[HourUTC]]&lt;21,"New York",TRUE,"AfterHours")</f>
        <v>Asia</v>
      </c>
    </row>
    <row r="65" spans="1:17" x14ac:dyDescent="0.3">
      <c r="A65" s="10">
        <v>93439.7</v>
      </c>
      <c r="B65" s="10">
        <v>93504.2</v>
      </c>
      <c r="C65" s="10">
        <v>9629</v>
      </c>
      <c r="D65" s="10">
        <v>10.301385639999999</v>
      </c>
      <c r="E65" s="10">
        <v>217</v>
      </c>
      <c r="F65" s="10">
        <v>8634</v>
      </c>
      <c r="G65" s="10">
        <v>9.2368622699999996</v>
      </c>
      <c r="H65" s="10">
        <f>[1]!BTC_data[[#This Row],[high]]-[1]!BTC_data[[#This Row],[low]]</f>
        <v>64.5</v>
      </c>
      <c r="I65" s="11">
        <f>[1]!BTC_data[[#This Row],[CandleRange]]/[1]!BTC_data[[#This Row],[open]]</f>
        <v>6.9012152558585427E-4</v>
      </c>
      <c r="J65" s="12">
        <f>ABS([1]!BTC_data[[#This Row],[open]]-[1]!BTC_data[[#This Row],[close]])</f>
        <v>42.399999999994179</v>
      </c>
      <c r="K65" s="11">
        <f>[1]!BTC_data[[#This Row],[CandleBody]]/[1]!BTC_data[[#This Row],[open]]</f>
        <v>4.5366128193544505E-4</v>
      </c>
      <c r="L65" s="13">
        <f>IF([1]!BTC_data[[#This Row],[CandleRange]]&gt;0,([1]!BTC_data[[#This Row],[close]]-[1]!BTC_data[[#This Row],[low]])/[1]!BTC_data[[#This Row],[CandleRange]],"")</f>
        <v>1</v>
      </c>
      <c r="M65" s="13">
        <f>IF([1]!BTC_data[[#This Row],[quote_volume]]&gt;0,[1]!BTC_data[[#This Row],[taker_buy_quote_volume]]/[1]!BTC_data[[#This Row],[quote_volume]],"")</f>
        <v>0.8966621183594482</v>
      </c>
      <c r="N65" t="str" cm="1">
        <f t="array" ref="N65">_xlfn.IFS([1]!BTC_data[[#This Row],[open]]-[1]!BTC_data[[#This Row],[close]]&gt;0,"Bearish",[1]!BTC_data[[#This Row],[open]]-[1]!BTC_data[[#This Row],[close]]&lt;0,"Bullish",TRUE,"Neutral")</f>
        <v>Bullish</v>
      </c>
      <c r="O65" s="13">
        <f>IF([1]!BTC_data[[#This Row],[CandleRange]]&gt;0,[1]!BTC_data[[#This Row],[CandleBody]]/[1]!BTC_data[[#This Row],[CandleRange]],"")</f>
        <v>0.65736434108518105</v>
      </c>
      <c r="P65" s="9" t="str" cm="1">
        <f t="array" ref="P65">_xlfn.IFS([1]!BTC_data[[#This Row],[BodyToRangeRatio]]&gt;=0.7,"Directional",[1]!BTC_data[[#This Row],[BodyToRangeRatio]]&lt;=0.3,"Indecision",TRUE,"Mixed")</f>
        <v>Mixed</v>
      </c>
      <c r="Q65" s="9" t="str" cm="1">
        <f t="array" ref="Q65">_xlfn.IFS([1]!BTC_data[[#This Row],[HourUTC]]&lt;8,"Asia",[1]!BTC_data[[#This Row],[HourUTC]]&lt;13,"London",[1]!BTC_data[[#This Row],[HourUTC]]&lt;21,"New York",TRUE,"AfterHours")</f>
        <v>Asia</v>
      </c>
    </row>
    <row r="66" spans="1:17" x14ac:dyDescent="0.3">
      <c r="A66" s="5">
        <v>93508.1</v>
      </c>
      <c r="B66" s="5">
        <v>93552</v>
      </c>
      <c r="C66" s="5">
        <v>24733</v>
      </c>
      <c r="D66" s="5">
        <v>26.441201629999998</v>
      </c>
      <c r="E66" s="5">
        <v>460</v>
      </c>
      <c r="F66" s="5">
        <v>16722</v>
      </c>
      <c r="G66" s="5">
        <v>17.87870526</v>
      </c>
      <c r="H66" s="5">
        <f>[1]!BTC_data[[#This Row],[high]]-[1]!BTC_data[[#This Row],[low]]</f>
        <v>81.19999999999709</v>
      </c>
      <c r="I66" s="6">
        <f>[1]!BTC_data[[#This Row],[CandleRange]]/[1]!BTC_data[[#This Row],[open]]</f>
        <v>8.6837396974162758E-4</v>
      </c>
      <c r="J66" s="7">
        <f>ABS([1]!BTC_data[[#This Row],[open]]-[1]!BTC_data[[#This Row],[close]])</f>
        <v>43.899999999994179</v>
      </c>
      <c r="K66" s="6">
        <f>[1]!BTC_data[[#This Row],[CandleBody]]/[1]!BTC_data[[#This Row],[open]]</f>
        <v>4.6947804521741088E-4</v>
      </c>
      <c r="L66" s="8">
        <f>IF([1]!BTC_data[[#This Row],[CandleRange]]&gt;0,([1]!BTC_data[[#This Row],[close]]-[1]!BTC_data[[#This Row],[low]])/[1]!BTC_data[[#This Row],[CandleRange]],"")</f>
        <v>0.54064039408861764</v>
      </c>
      <c r="M66" s="8">
        <f>IF([1]!BTC_data[[#This Row],[quote_volume]]&gt;0,[1]!BTC_data[[#This Row],[taker_buy_quote_volume]]/[1]!BTC_data[[#This Row],[quote_volume]],"")</f>
        <v>0.67616840982427018</v>
      </c>
      <c r="N66" t="str" cm="1">
        <f t="array" ref="N66">_xlfn.IFS([1]!BTC_data[[#This Row],[open]]-[1]!BTC_data[[#This Row],[close]]&gt;0,"Bearish",[1]!BTC_data[[#This Row],[open]]-[1]!BTC_data[[#This Row],[close]]&lt;0,"Bullish",TRUE,"Neutral")</f>
        <v>Bullish</v>
      </c>
      <c r="O66" s="8">
        <f>IF([1]!BTC_data[[#This Row],[CandleRange]]&gt;0,[1]!BTC_data[[#This Row],[CandleBody]]/[1]!BTC_data[[#This Row],[CandleRange]],"")</f>
        <v>0.54064039408861764</v>
      </c>
      <c r="P66" s="9" t="str" cm="1">
        <f t="array" ref="P66">_xlfn.IFS([1]!BTC_data[[#This Row],[BodyToRangeRatio]]&gt;=0.7,"Directional",[1]!BTC_data[[#This Row],[BodyToRangeRatio]]&lt;=0.3,"Indecision",TRUE,"Mixed")</f>
        <v>Mixed</v>
      </c>
      <c r="Q66" s="9" t="str" cm="1">
        <f t="array" ref="Q66">_xlfn.IFS([1]!BTC_data[[#This Row],[HourUTC]]&lt;8,"Asia",[1]!BTC_data[[#This Row],[HourUTC]]&lt;13,"London",[1]!BTC_data[[#This Row],[HourUTC]]&lt;21,"New York",TRUE,"AfterHours")</f>
        <v>Asia</v>
      </c>
    </row>
    <row r="67" spans="1:17" x14ac:dyDescent="0.3">
      <c r="A67" s="10">
        <v>93552</v>
      </c>
      <c r="B67" s="10">
        <v>93707.5</v>
      </c>
      <c r="C67" s="10">
        <v>36742</v>
      </c>
      <c r="D67" s="10">
        <v>39.23382591</v>
      </c>
      <c r="E67" s="10">
        <v>684</v>
      </c>
      <c r="F67" s="10">
        <v>27699</v>
      </c>
      <c r="G67" s="10">
        <v>29.577783549999999</v>
      </c>
      <c r="H67" s="10">
        <f>[1]!BTC_data[[#This Row],[high]]-[1]!BTC_data[[#This Row],[low]]</f>
        <v>198</v>
      </c>
      <c r="I67" s="11">
        <f>[1]!BTC_data[[#This Row],[CandleRange]]/[1]!BTC_data[[#This Row],[open]]</f>
        <v>2.1164699846074912E-3</v>
      </c>
      <c r="J67" s="12">
        <f>ABS([1]!BTC_data[[#This Row],[open]]-[1]!BTC_data[[#This Row],[close]])</f>
        <v>155.5</v>
      </c>
      <c r="K67" s="11">
        <f>[1]!BTC_data[[#This Row],[CandleBody]]/[1]!BTC_data[[#This Row],[open]]</f>
        <v>1.6621771848811357E-3</v>
      </c>
      <c r="L67" s="13">
        <f>IF([1]!BTC_data[[#This Row],[CandleRange]]&gt;0,([1]!BTC_data[[#This Row],[close]]-[1]!BTC_data[[#This Row],[low]])/[1]!BTC_data[[#This Row],[CandleRange]],"")</f>
        <v>0.78535353535353536</v>
      </c>
      <c r="M67" s="13">
        <f>IF([1]!BTC_data[[#This Row],[quote_volume]]&gt;0,[1]!BTC_data[[#This Row],[taker_buy_quote_volume]]/[1]!BTC_data[[#This Row],[quote_volume]],"")</f>
        <v>0.7538847630575114</v>
      </c>
      <c r="N67" t="str" cm="1">
        <f t="array" ref="N67">_xlfn.IFS([1]!BTC_data[[#This Row],[open]]-[1]!BTC_data[[#This Row],[close]]&gt;0,"Bearish",[1]!BTC_data[[#This Row],[open]]-[1]!BTC_data[[#This Row],[close]]&lt;0,"Bullish",TRUE,"Neutral")</f>
        <v>Bullish</v>
      </c>
      <c r="O67" s="13">
        <f>IF([1]!BTC_data[[#This Row],[CandleRange]]&gt;0,[1]!BTC_data[[#This Row],[CandleBody]]/[1]!BTC_data[[#This Row],[CandleRange]],"")</f>
        <v>0.78535353535353536</v>
      </c>
      <c r="P67" s="9" t="str" cm="1">
        <f t="array" ref="P67">_xlfn.IFS([1]!BTC_data[[#This Row],[BodyToRangeRatio]]&gt;=0.7,"Directional",[1]!BTC_data[[#This Row],[BodyToRangeRatio]]&lt;=0.3,"Indecision",TRUE,"Mixed")</f>
        <v>Directional</v>
      </c>
      <c r="Q67" s="9" t="str" cm="1">
        <f t="array" ref="Q67">_xlfn.IFS([1]!BTC_data[[#This Row],[HourUTC]]&lt;8,"Asia",[1]!BTC_data[[#This Row],[HourUTC]]&lt;13,"London",[1]!BTC_data[[#This Row],[HourUTC]]&lt;21,"New York",TRUE,"AfterHours")</f>
        <v>Asia</v>
      </c>
    </row>
    <row r="68" spans="1:17" x14ac:dyDescent="0.3">
      <c r="A68" s="5">
        <v>93661.1</v>
      </c>
      <c r="B68" s="5">
        <v>93661.2</v>
      </c>
      <c r="C68" s="5">
        <v>55221</v>
      </c>
      <c r="D68" s="5">
        <v>58.939708420000002</v>
      </c>
      <c r="E68" s="5">
        <v>470</v>
      </c>
      <c r="F68" s="5">
        <v>18050</v>
      </c>
      <c r="G68" s="5">
        <v>19.26505087</v>
      </c>
      <c r="H68" s="5">
        <f>[1]!BTC_data[[#This Row],[high]]-[1]!BTC_data[[#This Row],[low]]</f>
        <v>88.899999999994179</v>
      </c>
      <c r="I68" s="6">
        <f>[1]!BTC_data[[#This Row],[CandleRange]]/[1]!BTC_data[[#This Row],[open]]</f>
        <v>9.4869674252321507E-4</v>
      </c>
      <c r="J68" s="7">
        <f>ABS([1]!BTC_data[[#This Row],[open]]-[1]!BTC_data[[#This Row],[close]])</f>
        <v>46.30000000000291</v>
      </c>
      <c r="K68" s="6">
        <f>[1]!BTC_data[[#This Row],[CandleBody]]/[1]!BTC_data[[#This Row],[open]]</f>
        <v>4.9409065443003933E-4</v>
      </c>
      <c r="L68" s="8">
        <f>IF([1]!BTC_data[[#This Row],[CandleRange]]&gt;0,([1]!BTC_data[[#This Row],[close]]-[1]!BTC_data[[#This Row],[low]])/[1]!BTC_data[[#This Row],[CandleRange]],"")</f>
        <v>1.1248593924777885E-3</v>
      </c>
      <c r="M68" s="8">
        <f>IF([1]!BTC_data[[#This Row],[quote_volume]]&gt;0,[1]!BTC_data[[#This Row],[taker_buy_quote_volume]]/[1]!BTC_data[[#This Row],[quote_volume]],"")</f>
        <v>0.32686030159359919</v>
      </c>
      <c r="N68" t="str" cm="1">
        <f t="array" ref="N68">_xlfn.IFS([1]!BTC_data[[#This Row],[open]]-[1]!BTC_data[[#This Row],[close]]&gt;0,"Bearish",[1]!BTC_data[[#This Row],[open]]-[1]!BTC_data[[#This Row],[close]]&lt;0,"Bullish",TRUE,"Neutral")</f>
        <v>Bearish</v>
      </c>
      <c r="O68" s="8">
        <f>IF([1]!BTC_data[[#This Row],[CandleRange]]&gt;0,[1]!BTC_data[[#This Row],[CandleBody]]/[1]!BTC_data[[#This Row],[CandleRange]],"")</f>
        <v>0.52080989876272155</v>
      </c>
      <c r="P68" s="9" t="str" cm="1">
        <f t="array" ref="P68">_xlfn.IFS([1]!BTC_data[[#This Row],[BodyToRangeRatio]]&gt;=0.7,"Directional",[1]!BTC_data[[#This Row],[BodyToRangeRatio]]&lt;=0.3,"Indecision",TRUE,"Mixed")</f>
        <v>Mixed</v>
      </c>
      <c r="Q68" s="9" t="str" cm="1">
        <f t="array" ref="Q68">_xlfn.IFS([1]!BTC_data[[#This Row],[HourUTC]]&lt;8,"Asia",[1]!BTC_data[[#This Row],[HourUTC]]&lt;13,"London",[1]!BTC_data[[#This Row],[HourUTC]]&lt;21,"New York",TRUE,"AfterHours")</f>
        <v>Asia</v>
      </c>
    </row>
    <row r="69" spans="1:17" x14ac:dyDescent="0.3">
      <c r="A69" s="10">
        <v>93638.1</v>
      </c>
      <c r="B69" s="10">
        <v>93638.1</v>
      </c>
      <c r="C69" s="10">
        <v>84420</v>
      </c>
      <c r="D69" s="10">
        <v>90.124401550000002</v>
      </c>
      <c r="E69" s="10">
        <v>548</v>
      </c>
      <c r="F69" s="10">
        <v>43710</v>
      </c>
      <c r="G69" s="10">
        <v>46.665159160000002</v>
      </c>
      <c r="H69" s="10">
        <f>[1]!BTC_data[[#This Row],[high]]-[1]!BTC_data[[#This Row],[low]]</f>
        <v>48.19999999999709</v>
      </c>
      <c r="I69" s="11">
        <f>[1]!BTC_data[[#This Row],[CandleRange]]/[1]!BTC_data[[#This Row],[open]]</f>
        <v>5.1462133158800276E-4</v>
      </c>
      <c r="J69" s="12">
        <f>ABS([1]!BTC_data[[#This Row],[open]]-[1]!BTC_data[[#This Row],[close]])</f>
        <v>23</v>
      </c>
      <c r="K69" s="11">
        <f>[1]!BTC_data[[#This Row],[CandleBody]]/[1]!BTC_data[[#This Row],[open]]</f>
        <v>2.4556619557105351E-4</v>
      </c>
      <c r="L69" s="13">
        <f>IF([1]!BTC_data[[#This Row],[CandleRange]]&gt;0,([1]!BTC_data[[#This Row],[close]]-[1]!BTC_data[[#This Row],[low]])/[1]!BTC_data[[#This Row],[CandleRange]],"")</f>
        <v>0</v>
      </c>
      <c r="M69" s="13">
        <f>IF([1]!BTC_data[[#This Row],[quote_volume]]&gt;0,[1]!BTC_data[[#This Row],[taker_buy_quote_volume]]/[1]!BTC_data[[#This Row],[quote_volume]],"")</f>
        <v>0.51778606412283024</v>
      </c>
      <c r="N69" t="str" cm="1">
        <f t="array" ref="N69">_xlfn.IFS([1]!BTC_data[[#This Row],[open]]-[1]!BTC_data[[#This Row],[close]]&gt;0,"Bearish",[1]!BTC_data[[#This Row],[open]]-[1]!BTC_data[[#This Row],[close]]&lt;0,"Bullish",TRUE,"Neutral")</f>
        <v>Bearish</v>
      </c>
      <c r="O69" s="13">
        <f>IF([1]!BTC_data[[#This Row],[CandleRange]]&gt;0,[1]!BTC_data[[#This Row],[CandleBody]]/[1]!BTC_data[[#This Row],[CandleRange]],"")</f>
        <v>0.47717842323654336</v>
      </c>
      <c r="P69" s="9" t="str" cm="1">
        <f t="array" ref="P69">_xlfn.IFS([1]!BTC_data[[#This Row],[BodyToRangeRatio]]&gt;=0.7,"Directional",[1]!BTC_data[[#This Row],[BodyToRangeRatio]]&lt;=0.3,"Indecision",TRUE,"Mixed")</f>
        <v>Mixed</v>
      </c>
      <c r="Q69" s="9" t="str" cm="1">
        <f t="array" ref="Q69">_xlfn.IFS([1]!BTC_data[[#This Row],[HourUTC]]&lt;8,"Asia",[1]!BTC_data[[#This Row],[HourUTC]]&lt;13,"London",[1]!BTC_data[[#This Row],[HourUTC]]&lt;21,"New York",TRUE,"AfterHours")</f>
        <v>Asia</v>
      </c>
    </row>
    <row r="70" spans="1:17" x14ac:dyDescent="0.3">
      <c r="A70" s="5">
        <v>93619.3</v>
      </c>
      <c r="B70" s="5">
        <v>93671</v>
      </c>
      <c r="C70" s="5">
        <v>60637</v>
      </c>
      <c r="D70" s="5">
        <v>64.741121019999994</v>
      </c>
      <c r="E70" s="5">
        <v>321</v>
      </c>
      <c r="F70" s="5">
        <v>53917</v>
      </c>
      <c r="G70" s="5">
        <v>57.567306469999998</v>
      </c>
      <c r="H70" s="5">
        <f>[1]!BTC_data[[#This Row],[high]]-[1]!BTC_data[[#This Row],[low]]</f>
        <v>72.80000000000291</v>
      </c>
      <c r="I70" s="6">
        <f>[1]!BTC_data[[#This Row],[CandleRange]]/[1]!BTC_data[[#This Row],[open]]</f>
        <v>7.7746131115435815E-4</v>
      </c>
      <c r="J70" s="7">
        <f>ABS([1]!BTC_data[[#This Row],[open]]-[1]!BTC_data[[#This Row],[close]])</f>
        <v>32.899999999994179</v>
      </c>
      <c r="K70" s="6">
        <f>[1]!BTC_data[[#This Row],[CandleBody]]/[1]!BTC_data[[#This Row],[open]]</f>
        <v>3.5135270792545104E-4</v>
      </c>
      <c r="L70" s="8">
        <f>IF([1]!BTC_data[[#This Row],[CandleRange]]&gt;0,([1]!BTC_data[[#This Row],[close]]-[1]!BTC_data[[#This Row],[low]])/[1]!BTC_data[[#This Row],[CandleRange]],"")</f>
        <v>0.71016483516476681</v>
      </c>
      <c r="M70" s="8">
        <f>IF([1]!BTC_data[[#This Row],[quote_volume]]&gt;0,[1]!BTC_data[[#This Row],[taker_buy_quote_volume]]/[1]!BTC_data[[#This Row],[quote_volume]],"")</f>
        <v>0.88919230255861892</v>
      </c>
      <c r="N70" t="str" cm="1">
        <f t="array" ref="N70">_xlfn.IFS([1]!BTC_data[[#This Row],[open]]-[1]!BTC_data[[#This Row],[close]]&gt;0,"Bearish",[1]!BTC_data[[#This Row],[open]]-[1]!BTC_data[[#This Row],[close]]&lt;0,"Bullish",TRUE,"Neutral")</f>
        <v>Bullish</v>
      </c>
      <c r="O70" s="8">
        <f>IF([1]!BTC_data[[#This Row],[CandleRange]]&gt;0,[1]!BTC_data[[#This Row],[CandleBody]]/[1]!BTC_data[[#This Row],[CandleRange]],"")</f>
        <v>0.45192307692297889</v>
      </c>
      <c r="P70" s="9" t="str" cm="1">
        <f t="array" ref="P70">_xlfn.IFS([1]!BTC_data[[#This Row],[BodyToRangeRatio]]&gt;=0.7,"Directional",[1]!BTC_data[[#This Row],[BodyToRangeRatio]]&lt;=0.3,"Indecision",TRUE,"Mixed")</f>
        <v>Mixed</v>
      </c>
      <c r="Q70" s="9" t="str" cm="1">
        <f t="array" ref="Q70">_xlfn.IFS([1]!BTC_data[[#This Row],[HourUTC]]&lt;8,"Asia",[1]!BTC_data[[#This Row],[HourUTC]]&lt;13,"London",[1]!BTC_data[[#This Row],[HourUTC]]&lt;21,"New York",TRUE,"AfterHours")</f>
        <v>Asia</v>
      </c>
    </row>
    <row r="71" spans="1:17" x14ac:dyDescent="0.3">
      <c r="A71" s="10">
        <v>93650</v>
      </c>
      <c r="B71" s="10">
        <v>93657</v>
      </c>
      <c r="C71" s="10">
        <v>12950</v>
      </c>
      <c r="D71" s="10">
        <v>13.825542690000001</v>
      </c>
      <c r="E71" s="10">
        <v>234</v>
      </c>
      <c r="F71" s="10">
        <v>7314</v>
      </c>
      <c r="G71" s="10">
        <v>7.8083447599999998</v>
      </c>
      <c r="H71" s="10">
        <f>[1]!BTC_data[[#This Row],[high]]-[1]!BTC_data[[#This Row],[low]]</f>
        <v>34</v>
      </c>
      <c r="I71" s="11">
        <f>[1]!BTC_data[[#This Row],[CandleRange]]/[1]!BTC_data[[#This Row],[open]]</f>
        <v>3.629725315198941E-4</v>
      </c>
      <c r="J71" s="12">
        <f>ABS([1]!BTC_data[[#This Row],[open]]-[1]!BTC_data[[#This Row],[close]])</f>
        <v>14</v>
      </c>
      <c r="K71" s="11">
        <f>[1]!BTC_data[[#This Row],[CandleBody]]/[1]!BTC_data[[#This Row],[open]]</f>
        <v>1.4945927768466227E-4</v>
      </c>
      <c r="L71" s="13">
        <f>IF([1]!BTC_data[[#This Row],[CandleRange]]&gt;0,([1]!BTC_data[[#This Row],[close]]-[1]!BTC_data[[#This Row],[low]])/[1]!BTC_data[[#This Row],[CandleRange]],"")</f>
        <v>0.20588235294117646</v>
      </c>
      <c r="M71" s="13">
        <f>IF([1]!BTC_data[[#This Row],[quote_volume]]&gt;0,[1]!BTC_data[[#This Row],[taker_buy_quote_volume]]/[1]!BTC_data[[#This Row],[quote_volume]],"")</f>
        <v>0.56477672776257581</v>
      </c>
      <c r="N71" t="str" cm="1">
        <f t="array" ref="N71">_xlfn.IFS([1]!BTC_data[[#This Row],[open]]-[1]!BTC_data[[#This Row],[close]]&gt;0,"Bearish",[1]!BTC_data[[#This Row],[open]]-[1]!BTC_data[[#This Row],[close]]&lt;0,"Bullish",TRUE,"Neutral")</f>
        <v>Bearish</v>
      </c>
      <c r="O71" s="13">
        <f>IF([1]!BTC_data[[#This Row],[CandleRange]]&gt;0,[1]!BTC_data[[#This Row],[CandleBody]]/[1]!BTC_data[[#This Row],[CandleRange]],"")</f>
        <v>0.41176470588235292</v>
      </c>
      <c r="P71" s="9" t="str" cm="1">
        <f t="array" ref="P71">_xlfn.IFS([1]!BTC_data[[#This Row],[BodyToRangeRatio]]&gt;=0.7,"Directional",[1]!BTC_data[[#This Row],[BodyToRangeRatio]]&lt;=0.3,"Indecision",TRUE,"Mixed")</f>
        <v>Mixed</v>
      </c>
      <c r="Q71" s="9" t="str" cm="1">
        <f t="array" ref="Q71">_xlfn.IFS([1]!BTC_data[[#This Row],[HourUTC]]&lt;8,"Asia",[1]!BTC_data[[#This Row],[HourUTC]]&lt;13,"London",[1]!BTC_data[[#This Row],[HourUTC]]&lt;21,"New York",TRUE,"AfterHours")</f>
        <v>Asia</v>
      </c>
    </row>
    <row r="72" spans="1:17" x14ac:dyDescent="0.3">
      <c r="A72" s="5">
        <v>93623.3</v>
      </c>
      <c r="B72" s="5">
        <v>93623.7</v>
      </c>
      <c r="C72" s="5">
        <v>9628</v>
      </c>
      <c r="D72" s="5">
        <v>10.28242756</v>
      </c>
      <c r="E72" s="5">
        <v>244</v>
      </c>
      <c r="F72" s="5">
        <v>5248</v>
      </c>
      <c r="G72" s="5">
        <v>5.6050320600000001</v>
      </c>
      <c r="H72" s="5">
        <f>[1]!BTC_data[[#This Row],[high]]-[1]!BTC_data[[#This Row],[low]]</f>
        <v>33.69999999999709</v>
      </c>
      <c r="I72" s="6">
        <f>[1]!BTC_data[[#This Row],[CandleRange]]/[1]!BTC_data[[#This Row],[open]]</f>
        <v>3.5982361168943153E-4</v>
      </c>
      <c r="J72" s="7">
        <f>ABS([1]!BTC_data[[#This Row],[open]]-[1]!BTC_data[[#This Row],[close]])</f>
        <v>33.30000000000291</v>
      </c>
      <c r="K72" s="6">
        <f>[1]!BTC_data[[#This Row],[CandleBody]]/[1]!BTC_data[[#This Row],[open]]</f>
        <v>3.5555270828665142E-4</v>
      </c>
      <c r="L72" s="8">
        <f>IF([1]!BTC_data[[#This Row],[CandleRange]]&gt;0,([1]!BTC_data[[#This Row],[close]]-[1]!BTC_data[[#This Row],[low]])/[1]!BTC_data[[#This Row],[CandleRange]],"")</f>
        <v>1.1869436201608718E-2</v>
      </c>
      <c r="M72" s="8">
        <f>IF([1]!BTC_data[[#This Row],[quote_volume]]&gt;0,[1]!BTC_data[[#This Row],[taker_buy_quote_volume]]/[1]!BTC_data[[#This Row],[quote_volume]],"")</f>
        <v>0.54510785777906323</v>
      </c>
      <c r="N72" t="str" cm="1">
        <f t="array" ref="N72">_xlfn.IFS([1]!BTC_data[[#This Row],[open]]-[1]!BTC_data[[#This Row],[close]]&gt;0,"Bearish",[1]!BTC_data[[#This Row],[open]]-[1]!BTC_data[[#This Row],[close]]&lt;0,"Bullish",TRUE,"Neutral")</f>
        <v>Bearish</v>
      </c>
      <c r="O72" s="8">
        <f>IF([1]!BTC_data[[#This Row],[CandleRange]]&gt;0,[1]!BTC_data[[#This Row],[CandleBody]]/[1]!BTC_data[[#This Row],[CandleRange]],"")</f>
        <v>0.98813056379839126</v>
      </c>
      <c r="P72" s="9" t="str" cm="1">
        <f t="array" ref="P72">_xlfn.IFS([1]!BTC_data[[#This Row],[BodyToRangeRatio]]&gt;=0.7,"Directional",[1]!BTC_data[[#This Row],[BodyToRangeRatio]]&lt;=0.3,"Indecision",TRUE,"Mixed")</f>
        <v>Directional</v>
      </c>
      <c r="Q72" s="9" t="str" cm="1">
        <f t="array" ref="Q72">_xlfn.IFS([1]!BTC_data[[#This Row],[HourUTC]]&lt;8,"Asia",[1]!BTC_data[[#This Row],[HourUTC]]&lt;13,"London",[1]!BTC_data[[#This Row],[HourUTC]]&lt;21,"New York",TRUE,"AfterHours")</f>
        <v>Asia</v>
      </c>
    </row>
    <row r="73" spans="1:17" x14ac:dyDescent="0.3">
      <c r="A73" s="10">
        <v>93611.6</v>
      </c>
      <c r="B73" s="10">
        <v>93611.6</v>
      </c>
      <c r="C73" s="10">
        <v>2210</v>
      </c>
      <c r="D73" s="10">
        <v>2.36067369</v>
      </c>
      <c r="E73" s="10">
        <v>67</v>
      </c>
      <c r="F73" s="10">
        <v>147</v>
      </c>
      <c r="G73" s="10">
        <v>0.15703164999999999</v>
      </c>
      <c r="H73" s="10">
        <f>[1]!BTC_data[[#This Row],[high]]-[1]!BTC_data[[#This Row],[low]]</f>
        <v>12.099999999991269</v>
      </c>
      <c r="I73" s="11">
        <f>[1]!BTC_data[[#This Row],[CandleRange]]/[1]!BTC_data[[#This Row],[open]]</f>
        <v>1.2924077984518097E-4</v>
      </c>
      <c r="J73" s="12">
        <f>ABS([1]!BTC_data[[#This Row],[open]]-[1]!BTC_data[[#This Row],[close]])</f>
        <v>12.099999999991269</v>
      </c>
      <c r="K73" s="11">
        <f>[1]!BTC_data[[#This Row],[CandleBody]]/[1]!BTC_data[[#This Row],[open]]</f>
        <v>1.2924077984518097E-4</v>
      </c>
      <c r="L73" s="13">
        <f>IF([1]!BTC_data[[#This Row],[CandleRange]]&gt;0,([1]!BTC_data[[#This Row],[close]]-[1]!BTC_data[[#This Row],[low]])/[1]!BTC_data[[#This Row],[CandleRange]],"")</f>
        <v>0</v>
      </c>
      <c r="M73" s="13">
        <f>IF([1]!BTC_data[[#This Row],[quote_volume]]&gt;0,[1]!BTC_data[[#This Row],[taker_buy_quote_volume]]/[1]!BTC_data[[#This Row],[quote_volume]],"")</f>
        <v>6.6519845866541596E-2</v>
      </c>
      <c r="N73" t="str" cm="1">
        <f t="array" ref="N73">_xlfn.IFS([1]!BTC_data[[#This Row],[open]]-[1]!BTC_data[[#This Row],[close]]&gt;0,"Bearish",[1]!BTC_data[[#This Row],[open]]-[1]!BTC_data[[#This Row],[close]]&lt;0,"Bullish",TRUE,"Neutral")</f>
        <v>Bearish</v>
      </c>
      <c r="O73" s="13">
        <f>IF([1]!BTC_data[[#This Row],[CandleRange]]&gt;0,[1]!BTC_data[[#This Row],[CandleBody]]/[1]!BTC_data[[#This Row],[CandleRange]],"")</f>
        <v>1</v>
      </c>
      <c r="P73" s="9" t="str" cm="1">
        <f t="array" ref="P73">_xlfn.IFS([1]!BTC_data[[#This Row],[BodyToRangeRatio]]&gt;=0.7,"Directional",[1]!BTC_data[[#This Row],[BodyToRangeRatio]]&lt;=0.3,"Indecision",TRUE,"Mixed")</f>
        <v>Directional</v>
      </c>
      <c r="Q73" s="9" t="str" cm="1">
        <f t="array" ref="Q73">_xlfn.IFS([1]!BTC_data[[#This Row],[HourUTC]]&lt;8,"Asia",[1]!BTC_data[[#This Row],[HourUTC]]&lt;13,"London",[1]!BTC_data[[#This Row],[HourUTC]]&lt;21,"New York",TRUE,"AfterHours")</f>
        <v>Asia</v>
      </c>
    </row>
    <row r="74" spans="1:17" x14ac:dyDescent="0.3">
      <c r="A74" s="5">
        <v>93541.6</v>
      </c>
      <c r="B74" s="5">
        <v>93541.6</v>
      </c>
      <c r="C74" s="5">
        <v>88826</v>
      </c>
      <c r="D74" s="5">
        <v>94.917820919999997</v>
      </c>
      <c r="E74" s="5">
        <v>668</v>
      </c>
      <c r="F74" s="5">
        <v>20827</v>
      </c>
      <c r="G74" s="5">
        <v>22.258778419999999</v>
      </c>
      <c r="H74" s="5">
        <f>[1]!BTC_data[[#This Row],[high]]-[1]!BTC_data[[#This Row],[low]]</f>
        <v>70</v>
      </c>
      <c r="I74" s="6">
        <f>[1]!BTC_data[[#This Row],[CandleRange]]/[1]!BTC_data[[#This Row],[open]]</f>
        <v>7.4777057544150503E-4</v>
      </c>
      <c r="J74" s="7">
        <f>ABS([1]!BTC_data[[#This Row],[open]]-[1]!BTC_data[[#This Row],[close]])</f>
        <v>70</v>
      </c>
      <c r="K74" s="6">
        <f>[1]!BTC_data[[#This Row],[CandleBody]]/[1]!BTC_data[[#This Row],[open]]</f>
        <v>7.4777057544150503E-4</v>
      </c>
      <c r="L74" s="8">
        <f>IF([1]!BTC_data[[#This Row],[CandleRange]]&gt;0,([1]!BTC_data[[#This Row],[close]]-[1]!BTC_data[[#This Row],[low]])/[1]!BTC_data[[#This Row],[CandleRange]],"")</f>
        <v>0</v>
      </c>
      <c r="M74" s="8">
        <f>IF([1]!BTC_data[[#This Row],[quote_volume]]&gt;0,[1]!BTC_data[[#This Row],[taker_buy_quote_volume]]/[1]!BTC_data[[#This Row],[quote_volume]],"")</f>
        <v>0.23450578831514118</v>
      </c>
      <c r="N74" t="str" cm="1">
        <f t="array" ref="N74">_xlfn.IFS([1]!BTC_data[[#This Row],[open]]-[1]!BTC_data[[#This Row],[close]]&gt;0,"Bearish",[1]!BTC_data[[#This Row],[open]]-[1]!BTC_data[[#This Row],[close]]&lt;0,"Bullish",TRUE,"Neutral")</f>
        <v>Bearish</v>
      </c>
      <c r="O74" s="8">
        <f>IF([1]!BTC_data[[#This Row],[CandleRange]]&gt;0,[1]!BTC_data[[#This Row],[CandleBody]]/[1]!BTC_data[[#This Row],[CandleRange]],"")</f>
        <v>1</v>
      </c>
      <c r="P74" s="9" t="str" cm="1">
        <f t="array" ref="P74">_xlfn.IFS([1]!BTC_data[[#This Row],[BodyToRangeRatio]]&gt;=0.7,"Directional",[1]!BTC_data[[#This Row],[BodyToRangeRatio]]&lt;=0.3,"Indecision",TRUE,"Mixed")</f>
        <v>Directional</v>
      </c>
      <c r="Q74" s="9" t="str" cm="1">
        <f t="array" ref="Q74">_xlfn.IFS([1]!BTC_data[[#This Row],[HourUTC]]&lt;8,"Asia",[1]!BTC_data[[#This Row],[HourUTC]]&lt;13,"London",[1]!BTC_data[[#This Row],[HourUTC]]&lt;21,"New York",TRUE,"AfterHours")</f>
        <v>Asia</v>
      </c>
    </row>
    <row r="75" spans="1:17" x14ac:dyDescent="0.3">
      <c r="A75" s="10">
        <v>93478.2</v>
      </c>
      <c r="B75" s="10">
        <v>93478.2</v>
      </c>
      <c r="C75" s="10">
        <v>6698</v>
      </c>
      <c r="D75" s="10">
        <v>7.1641014299999997</v>
      </c>
      <c r="E75" s="10">
        <v>244</v>
      </c>
      <c r="F75" s="10">
        <v>959</v>
      </c>
      <c r="G75" s="10">
        <v>1.0256716299999999</v>
      </c>
      <c r="H75" s="10">
        <f>[1]!BTC_data[[#This Row],[high]]-[1]!BTC_data[[#This Row],[low]]</f>
        <v>63.5</v>
      </c>
      <c r="I75" s="11">
        <f>[1]!BTC_data[[#This Row],[CandleRange]]/[1]!BTC_data[[#This Row],[open]]</f>
        <v>6.788423546315222E-4</v>
      </c>
      <c r="J75" s="12">
        <f>ABS([1]!BTC_data[[#This Row],[open]]-[1]!BTC_data[[#This Row],[close]])</f>
        <v>63.400000000008731</v>
      </c>
      <c r="K75" s="11">
        <f>[1]!BTC_data[[#This Row],[CandleBody]]/[1]!BTC_data[[#This Row],[open]]</f>
        <v>6.7777331155345567E-4</v>
      </c>
      <c r="L75" s="13">
        <f>IF([1]!BTC_data[[#This Row],[CandleRange]]&gt;0,([1]!BTC_data[[#This Row],[close]]-[1]!BTC_data[[#This Row],[low]])/[1]!BTC_data[[#This Row],[CandleRange]],"")</f>
        <v>0</v>
      </c>
      <c r="M75" s="13">
        <f>IF([1]!BTC_data[[#This Row],[quote_volume]]&gt;0,[1]!BTC_data[[#This Row],[taker_buy_quote_volume]]/[1]!BTC_data[[#This Row],[quote_volume]],"")</f>
        <v>0.14316821725959286</v>
      </c>
      <c r="N75" t="str" cm="1">
        <f t="array" ref="N75">_xlfn.IFS([1]!BTC_data[[#This Row],[open]]-[1]!BTC_data[[#This Row],[close]]&gt;0,"Bearish",[1]!BTC_data[[#This Row],[open]]-[1]!BTC_data[[#This Row],[close]]&lt;0,"Bullish",TRUE,"Neutral")</f>
        <v>Bearish</v>
      </c>
      <c r="O75" s="13">
        <f>IF([1]!BTC_data[[#This Row],[CandleRange]]&gt;0,[1]!BTC_data[[#This Row],[CandleBody]]/[1]!BTC_data[[#This Row],[CandleRange]],"")</f>
        <v>0.99842519685053122</v>
      </c>
      <c r="P75" s="9" t="str" cm="1">
        <f t="array" ref="P75">_xlfn.IFS([1]!BTC_data[[#This Row],[BodyToRangeRatio]]&gt;=0.7,"Directional",[1]!BTC_data[[#This Row],[BodyToRangeRatio]]&lt;=0.3,"Indecision",TRUE,"Mixed")</f>
        <v>Directional</v>
      </c>
      <c r="Q75" s="9" t="str" cm="1">
        <f t="array" ref="Q75">_xlfn.IFS([1]!BTC_data[[#This Row],[HourUTC]]&lt;8,"Asia",[1]!BTC_data[[#This Row],[HourUTC]]&lt;13,"London",[1]!BTC_data[[#This Row],[HourUTC]]&lt;21,"New York",TRUE,"AfterHours")</f>
        <v>Asia</v>
      </c>
    </row>
    <row r="76" spans="1:17" x14ac:dyDescent="0.3">
      <c r="A76" s="5">
        <v>93413.8</v>
      </c>
      <c r="B76" s="5">
        <v>93413.9</v>
      </c>
      <c r="C76" s="5">
        <v>19188</v>
      </c>
      <c r="D76" s="5">
        <v>20.53155817</v>
      </c>
      <c r="E76" s="5">
        <v>570</v>
      </c>
      <c r="F76" s="5">
        <v>7952</v>
      </c>
      <c r="G76" s="5">
        <v>8.5076611700000004</v>
      </c>
      <c r="H76" s="5">
        <f>[1]!BTC_data[[#This Row],[high]]-[1]!BTC_data[[#This Row],[low]]</f>
        <v>76.30000000000291</v>
      </c>
      <c r="I76" s="6">
        <f>[1]!BTC_data[[#This Row],[CandleRange]]/[1]!BTC_data[[#This Row],[open]]</f>
        <v>8.1623308964018251E-4</v>
      </c>
      <c r="J76" s="7">
        <f>ABS([1]!BTC_data[[#This Row],[open]]-[1]!BTC_data[[#This Row],[close]])</f>
        <v>64.30000000000291</v>
      </c>
      <c r="K76" s="6">
        <f>[1]!BTC_data[[#This Row],[CandleBody]]/[1]!BTC_data[[#This Row],[open]]</f>
        <v>6.8786091302574192E-4</v>
      </c>
      <c r="L76" s="8">
        <f>IF([1]!BTC_data[[#This Row],[CandleRange]]&gt;0,([1]!BTC_data[[#This Row],[close]]-[1]!BTC_data[[#This Row],[low]])/[1]!BTC_data[[#This Row],[CandleRange]],"")</f>
        <v>1.3106159894005903E-3</v>
      </c>
      <c r="M76" s="8">
        <f>IF([1]!BTC_data[[#This Row],[quote_volume]]&gt;0,[1]!BTC_data[[#This Row],[taker_buy_quote_volume]]/[1]!BTC_data[[#This Row],[quote_volume]],"")</f>
        <v>0.41436997131718428</v>
      </c>
      <c r="N76" t="str" cm="1">
        <f t="array" ref="N76">_xlfn.IFS([1]!BTC_data[[#This Row],[open]]-[1]!BTC_data[[#This Row],[close]]&gt;0,"Bearish",[1]!BTC_data[[#This Row],[open]]-[1]!BTC_data[[#This Row],[close]]&lt;0,"Bullish",TRUE,"Neutral")</f>
        <v>Bearish</v>
      </c>
      <c r="O76" s="8">
        <f>IF([1]!BTC_data[[#This Row],[CandleRange]]&gt;0,[1]!BTC_data[[#This Row],[CandleBody]]/[1]!BTC_data[[#This Row],[CandleRange]],"")</f>
        <v>0.84272608125819737</v>
      </c>
      <c r="P76" s="9" t="str" cm="1">
        <f t="array" ref="P76">_xlfn.IFS([1]!BTC_data[[#This Row],[BodyToRangeRatio]]&gt;=0.7,"Directional",[1]!BTC_data[[#This Row],[BodyToRangeRatio]]&lt;=0.3,"Indecision",TRUE,"Mixed")</f>
        <v>Directional</v>
      </c>
      <c r="Q76" s="9" t="str" cm="1">
        <f t="array" ref="Q76">_xlfn.IFS([1]!BTC_data[[#This Row],[HourUTC]]&lt;8,"Asia",[1]!BTC_data[[#This Row],[HourUTC]]&lt;13,"London",[1]!BTC_data[[#This Row],[HourUTC]]&lt;21,"New York",TRUE,"AfterHours")</f>
        <v>Asia</v>
      </c>
    </row>
    <row r="77" spans="1:17" x14ac:dyDescent="0.3">
      <c r="A77" s="10">
        <v>93413.9</v>
      </c>
      <c r="B77" s="10">
        <v>93436.9</v>
      </c>
      <c r="C77" s="10">
        <v>23930</v>
      </c>
      <c r="D77" s="10">
        <v>25.60949969</v>
      </c>
      <c r="E77" s="10">
        <v>334</v>
      </c>
      <c r="F77" s="10">
        <v>12250</v>
      </c>
      <c r="G77" s="10">
        <v>13.111482199999999</v>
      </c>
      <c r="H77" s="10">
        <f>[1]!BTC_data[[#This Row],[high]]-[1]!BTC_data[[#This Row],[low]]</f>
        <v>62.80000000000291</v>
      </c>
      <c r="I77" s="11">
        <f>[1]!BTC_data[[#This Row],[CandleRange]]/[1]!BTC_data[[#This Row],[open]]</f>
        <v>6.7227682389882999E-4</v>
      </c>
      <c r="J77" s="12">
        <f>ABS([1]!BTC_data[[#This Row],[open]]-[1]!BTC_data[[#This Row],[close]])</f>
        <v>23</v>
      </c>
      <c r="K77" s="11">
        <f>[1]!BTC_data[[#This Row],[CandleBody]]/[1]!BTC_data[[#This Row],[open]]</f>
        <v>2.4621603423045181E-4</v>
      </c>
      <c r="L77" s="13">
        <f>IF([1]!BTC_data[[#This Row],[CandleRange]]&gt;0,([1]!BTC_data[[#This Row],[close]]-[1]!BTC_data[[#This Row],[low]])/[1]!BTC_data[[#This Row],[CandleRange]],"")</f>
        <v>0.36624203821654355</v>
      </c>
      <c r="M77" s="13">
        <f>IF([1]!BTC_data[[#This Row],[quote_volume]]&gt;0,[1]!BTC_data[[#This Row],[taker_buy_quote_volume]]/[1]!BTC_data[[#This Row],[quote_volume]],"")</f>
        <v>0.51197728806548193</v>
      </c>
      <c r="N77" t="str" cm="1">
        <f t="array" ref="N77">_xlfn.IFS([1]!BTC_data[[#This Row],[open]]-[1]!BTC_data[[#This Row],[close]]&gt;0,"Bearish",[1]!BTC_data[[#This Row],[open]]-[1]!BTC_data[[#This Row],[close]]&lt;0,"Bullish",TRUE,"Neutral")</f>
        <v>Bullish</v>
      </c>
      <c r="O77" s="13">
        <f>IF([1]!BTC_data[[#This Row],[CandleRange]]&gt;0,[1]!BTC_data[[#This Row],[CandleBody]]/[1]!BTC_data[[#This Row],[CandleRange]],"")</f>
        <v>0.36624203821654355</v>
      </c>
      <c r="P77" s="9" t="str" cm="1">
        <f t="array" ref="P77">_xlfn.IFS([1]!BTC_data[[#This Row],[BodyToRangeRatio]]&gt;=0.7,"Directional",[1]!BTC_data[[#This Row],[BodyToRangeRatio]]&lt;=0.3,"Indecision",TRUE,"Mixed")</f>
        <v>Mixed</v>
      </c>
      <c r="Q77" s="9" t="str" cm="1">
        <f t="array" ref="Q77">_xlfn.IFS([1]!BTC_data[[#This Row],[HourUTC]]&lt;8,"Asia",[1]!BTC_data[[#This Row],[HourUTC]]&lt;13,"London",[1]!BTC_data[[#This Row],[HourUTC]]&lt;21,"New York",TRUE,"AfterHours")</f>
        <v>Asia</v>
      </c>
    </row>
    <row r="78" spans="1:17" x14ac:dyDescent="0.3">
      <c r="A78" s="5">
        <v>93436.9</v>
      </c>
      <c r="B78" s="5">
        <v>93495</v>
      </c>
      <c r="C78" s="5">
        <v>15927</v>
      </c>
      <c r="D78" s="5">
        <v>17.034496480000001</v>
      </c>
      <c r="E78" s="5">
        <v>238</v>
      </c>
      <c r="F78" s="5">
        <v>5372</v>
      </c>
      <c r="G78" s="5">
        <v>5.7471859800000002</v>
      </c>
      <c r="H78" s="5">
        <f>[1]!BTC_data[[#This Row],[high]]-[1]!BTC_data[[#This Row],[low]]</f>
        <v>82.30000000000291</v>
      </c>
      <c r="I78" s="6">
        <f>[1]!BTC_data[[#This Row],[CandleRange]]/[1]!BTC_data[[#This Row],[open]]</f>
        <v>8.8080833161206025E-4</v>
      </c>
      <c r="J78" s="7">
        <f>ABS([1]!BTC_data[[#This Row],[open]]-[1]!BTC_data[[#This Row],[close]])</f>
        <v>58.100000000005821</v>
      </c>
      <c r="K78" s="6">
        <f>[1]!BTC_data[[#This Row],[CandleBody]]/[1]!BTC_data[[#This Row],[open]]</f>
        <v>6.2181001296068069E-4</v>
      </c>
      <c r="L78" s="8">
        <f>IF([1]!BTC_data[[#This Row],[CandleRange]]&gt;0,([1]!BTC_data[[#This Row],[close]]-[1]!BTC_data[[#This Row],[low]])/[1]!BTC_data[[#This Row],[CandleRange]],"")</f>
        <v>0.70595382746055613</v>
      </c>
      <c r="M78" s="8">
        <f>IF([1]!BTC_data[[#This Row],[quote_volume]]&gt;0,[1]!BTC_data[[#This Row],[taker_buy_quote_volume]]/[1]!BTC_data[[#This Row],[quote_volume]],"")</f>
        <v>0.33738514001559733</v>
      </c>
      <c r="N78" t="str" cm="1">
        <f t="array" ref="N78">_xlfn.IFS([1]!BTC_data[[#This Row],[open]]-[1]!BTC_data[[#This Row],[close]]&gt;0,"Bearish",[1]!BTC_data[[#This Row],[open]]-[1]!BTC_data[[#This Row],[close]]&lt;0,"Bullish",TRUE,"Neutral")</f>
        <v>Bullish</v>
      </c>
      <c r="O78" s="8">
        <f>IF([1]!BTC_data[[#This Row],[CandleRange]]&gt;0,[1]!BTC_data[[#This Row],[CandleBody]]/[1]!BTC_data[[#This Row],[CandleRange]],"")</f>
        <v>0.70595382746055613</v>
      </c>
      <c r="P78" s="9" t="str" cm="1">
        <f t="array" ref="P78">_xlfn.IFS([1]!BTC_data[[#This Row],[BodyToRangeRatio]]&gt;=0.7,"Directional",[1]!BTC_data[[#This Row],[BodyToRangeRatio]]&lt;=0.3,"Indecision",TRUE,"Mixed")</f>
        <v>Directional</v>
      </c>
      <c r="Q78" s="9" t="str" cm="1">
        <f t="array" ref="Q78">_xlfn.IFS([1]!BTC_data[[#This Row],[HourUTC]]&lt;8,"Asia",[1]!BTC_data[[#This Row],[HourUTC]]&lt;13,"London",[1]!BTC_data[[#This Row],[HourUTC]]&lt;21,"New York",TRUE,"AfterHours")</f>
        <v>Asia</v>
      </c>
    </row>
    <row r="79" spans="1:17" x14ac:dyDescent="0.3">
      <c r="A79" s="10">
        <v>93475</v>
      </c>
      <c r="B79" s="10">
        <v>93475</v>
      </c>
      <c r="C79" s="10">
        <v>14591</v>
      </c>
      <c r="D79" s="10">
        <v>15.60629168</v>
      </c>
      <c r="E79" s="10">
        <v>135</v>
      </c>
      <c r="F79" s="10">
        <v>7079</v>
      </c>
      <c r="G79" s="10">
        <v>7.5715430799999996</v>
      </c>
      <c r="H79" s="10">
        <f>[1]!BTC_data[[#This Row],[high]]-[1]!BTC_data[[#This Row],[low]]</f>
        <v>32.899999999994179</v>
      </c>
      <c r="I79" s="11">
        <f>[1]!BTC_data[[#This Row],[CandleRange]]/[1]!BTC_data[[#This Row],[open]]</f>
        <v>3.5189047542643113E-4</v>
      </c>
      <c r="J79" s="12">
        <f>ABS([1]!BTC_data[[#This Row],[open]]-[1]!BTC_data[[#This Row],[close]])</f>
        <v>20</v>
      </c>
      <c r="K79" s="11">
        <f>[1]!BTC_data[[#This Row],[CandleBody]]/[1]!BTC_data[[#This Row],[open]]</f>
        <v>2.1391518263008717E-4</v>
      </c>
      <c r="L79" s="13">
        <f>IF([1]!BTC_data[[#This Row],[CandleRange]]&gt;0,([1]!BTC_data[[#This Row],[close]]-[1]!BTC_data[[#This Row],[low]])/[1]!BTC_data[[#This Row],[CandleRange]],"")</f>
        <v>0</v>
      </c>
      <c r="M79" s="13">
        <f>IF([1]!BTC_data[[#This Row],[quote_volume]]&gt;0,[1]!BTC_data[[#This Row],[taker_buy_quote_volume]]/[1]!BTC_data[[#This Row],[quote_volume]],"")</f>
        <v>0.48515965453235715</v>
      </c>
      <c r="N79" t="str" cm="1">
        <f t="array" ref="N79">_xlfn.IFS([1]!BTC_data[[#This Row],[open]]-[1]!BTC_data[[#This Row],[close]]&gt;0,"Bearish",[1]!BTC_data[[#This Row],[open]]-[1]!BTC_data[[#This Row],[close]]&lt;0,"Bullish",TRUE,"Neutral")</f>
        <v>Bearish</v>
      </c>
      <c r="O79" s="13">
        <f>IF([1]!BTC_data[[#This Row],[CandleRange]]&gt;0,[1]!BTC_data[[#This Row],[CandleBody]]/[1]!BTC_data[[#This Row],[CandleRange]],"")</f>
        <v>0.60790273556241758</v>
      </c>
      <c r="P79" s="9" t="str" cm="1">
        <f t="array" ref="P79">_xlfn.IFS([1]!BTC_data[[#This Row],[BodyToRangeRatio]]&gt;=0.7,"Directional",[1]!BTC_data[[#This Row],[BodyToRangeRatio]]&lt;=0.3,"Indecision",TRUE,"Mixed")</f>
        <v>Mixed</v>
      </c>
      <c r="Q79" s="9" t="str" cm="1">
        <f t="array" ref="Q79">_xlfn.IFS([1]!BTC_data[[#This Row],[HourUTC]]&lt;8,"Asia",[1]!BTC_data[[#This Row],[HourUTC]]&lt;13,"London",[1]!BTC_data[[#This Row],[HourUTC]]&lt;21,"New York",TRUE,"AfterHours")</f>
        <v>Asia</v>
      </c>
    </row>
    <row r="80" spans="1:17" x14ac:dyDescent="0.3">
      <c r="A80" s="5">
        <v>93424</v>
      </c>
      <c r="B80" s="5">
        <v>93435.4</v>
      </c>
      <c r="C80" s="5">
        <v>23848</v>
      </c>
      <c r="D80" s="5">
        <v>25.52025956</v>
      </c>
      <c r="E80" s="5">
        <v>343</v>
      </c>
      <c r="F80" s="5">
        <v>9240</v>
      </c>
      <c r="G80" s="5">
        <v>9.8882599300000003</v>
      </c>
      <c r="H80" s="5">
        <f>[1]!BTC_data[[#This Row],[high]]-[1]!BTC_data[[#This Row],[low]]</f>
        <v>51</v>
      </c>
      <c r="I80" s="6">
        <f>[1]!BTC_data[[#This Row],[CandleRange]]/[1]!BTC_data[[#This Row],[open]]</f>
        <v>5.4560042792190422E-4</v>
      </c>
      <c r="J80" s="7">
        <f>ABS([1]!BTC_data[[#This Row],[open]]-[1]!BTC_data[[#This Row],[close]])</f>
        <v>39.600000000005821</v>
      </c>
      <c r="K80" s="6">
        <f>[1]!BTC_data[[#This Row],[CandleBody]]/[1]!BTC_data[[#This Row],[open]]</f>
        <v>4.2364268521001146E-4</v>
      </c>
      <c r="L80" s="8">
        <f>IF([1]!BTC_data[[#This Row],[CandleRange]]&gt;0,([1]!BTC_data[[#This Row],[close]]-[1]!BTC_data[[#This Row],[low]])/[1]!BTC_data[[#This Row],[CandleRange]],"")</f>
        <v>0.22352941176459176</v>
      </c>
      <c r="M80" s="8">
        <f>IF([1]!BTC_data[[#This Row],[quote_volume]]&gt;0,[1]!BTC_data[[#This Row],[taker_buy_quote_volume]]/[1]!BTC_data[[#This Row],[quote_volume]],"")</f>
        <v>0.38746705952390403</v>
      </c>
      <c r="N80" t="str" cm="1">
        <f t="array" ref="N80">_xlfn.IFS([1]!BTC_data[[#This Row],[open]]-[1]!BTC_data[[#This Row],[close]]&gt;0,"Bearish",[1]!BTC_data[[#This Row],[open]]-[1]!BTC_data[[#This Row],[close]]&lt;0,"Bullish",TRUE,"Neutral")</f>
        <v>Bearish</v>
      </c>
      <c r="O80" s="8">
        <f>IF([1]!BTC_data[[#This Row],[CandleRange]]&gt;0,[1]!BTC_data[[#This Row],[CandleBody]]/[1]!BTC_data[[#This Row],[CandleRange]],"")</f>
        <v>0.77647058823540827</v>
      </c>
      <c r="P80" s="9" t="str" cm="1">
        <f t="array" ref="P80">_xlfn.IFS([1]!BTC_data[[#This Row],[BodyToRangeRatio]]&gt;=0.7,"Directional",[1]!BTC_data[[#This Row],[BodyToRangeRatio]]&lt;=0.3,"Indecision",TRUE,"Mixed")</f>
        <v>Directional</v>
      </c>
      <c r="Q80" s="9" t="str" cm="1">
        <f t="array" ref="Q80">_xlfn.IFS([1]!BTC_data[[#This Row],[HourUTC]]&lt;8,"Asia",[1]!BTC_data[[#This Row],[HourUTC]]&lt;13,"London",[1]!BTC_data[[#This Row],[HourUTC]]&lt;21,"New York",TRUE,"AfterHours")</f>
        <v>Asia</v>
      </c>
    </row>
    <row r="81" spans="1:17" x14ac:dyDescent="0.3">
      <c r="A81" s="10">
        <v>93393.9</v>
      </c>
      <c r="B81" s="10">
        <v>93467.6</v>
      </c>
      <c r="C81" s="10">
        <v>54061</v>
      </c>
      <c r="D81" s="10">
        <v>57.862511580000003</v>
      </c>
      <c r="E81" s="10">
        <v>507</v>
      </c>
      <c r="F81" s="10">
        <v>28536</v>
      </c>
      <c r="G81" s="10">
        <v>30.544923990000001</v>
      </c>
      <c r="H81" s="10">
        <f>[1]!BTC_data[[#This Row],[high]]-[1]!BTC_data[[#This Row],[low]]</f>
        <v>80.600000000005821</v>
      </c>
      <c r="I81" s="11">
        <f>[1]!BTC_data[[#This Row],[CandleRange]]/[1]!BTC_data[[#This Row],[open]]</f>
        <v>8.6262808314627887E-4</v>
      </c>
      <c r="J81" s="12">
        <f>ABS([1]!BTC_data[[#This Row],[open]]-[1]!BTC_data[[#This Row],[close]])</f>
        <v>32.200000000011642</v>
      </c>
      <c r="K81" s="11">
        <f>[1]!BTC_data[[#This Row],[CandleBody]]/[1]!BTC_data[[#This Row],[open]]</f>
        <v>3.4462312999154114E-4</v>
      </c>
      <c r="L81" s="13">
        <f>IF([1]!BTC_data[[#This Row],[CandleRange]]&gt;0,([1]!BTC_data[[#This Row],[close]]-[1]!BTC_data[[#This Row],[low]])/[1]!BTC_data[[#This Row],[CandleRange]],"")</f>
        <v>0.91439205955342828</v>
      </c>
      <c r="M81" s="13">
        <f>IF([1]!BTC_data[[#This Row],[quote_volume]]&gt;0,[1]!BTC_data[[#This Row],[taker_buy_quote_volume]]/[1]!BTC_data[[#This Row],[quote_volume]],"")</f>
        <v>0.52788797367996998</v>
      </c>
      <c r="N81" t="str" cm="1">
        <f t="array" ref="N81">_xlfn.IFS([1]!BTC_data[[#This Row],[open]]-[1]!BTC_data[[#This Row],[close]]&gt;0,"Bearish",[1]!BTC_data[[#This Row],[open]]-[1]!BTC_data[[#This Row],[close]]&lt;0,"Bullish",TRUE,"Neutral")</f>
        <v>Bullish</v>
      </c>
      <c r="O81" s="13">
        <f>IF([1]!BTC_data[[#This Row],[CandleRange]]&gt;0,[1]!BTC_data[[#This Row],[CandleBody]]/[1]!BTC_data[[#This Row],[CandleRange]],"")</f>
        <v>0.39950372208448282</v>
      </c>
      <c r="P81" s="9" t="str" cm="1">
        <f t="array" ref="P81">_xlfn.IFS([1]!BTC_data[[#This Row],[BodyToRangeRatio]]&gt;=0.7,"Directional",[1]!BTC_data[[#This Row],[BodyToRangeRatio]]&lt;=0.3,"Indecision",TRUE,"Mixed")</f>
        <v>Mixed</v>
      </c>
      <c r="Q81" s="9" t="str" cm="1">
        <f t="array" ref="Q81">_xlfn.IFS([1]!BTC_data[[#This Row],[HourUTC]]&lt;8,"Asia",[1]!BTC_data[[#This Row],[HourUTC]]&lt;13,"London",[1]!BTC_data[[#This Row],[HourUTC]]&lt;21,"New York",TRUE,"AfterHours")</f>
        <v>Asia</v>
      </c>
    </row>
    <row r="82" spans="1:17" x14ac:dyDescent="0.3">
      <c r="A82" s="5">
        <v>93467.7</v>
      </c>
      <c r="B82" s="5">
        <v>93530.6</v>
      </c>
      <c r="C82" s="5">
        <v>6294</v>
      </c>
      <c r="D82" s="5">
        <v>6.7318625900000004</v>
      </c>
      <c r="E82" s="5">
        <v>164</v>
      </c>
      <c r="F82" s="5">
        <v>5655</v>
      </c>
      <c r="G82" s="5">
        <v>6.0483835199999998</v>
      </c>
      <c r="H82" s="5">
        <f>[1]!BTC_data[[#This Row],[high]]-[1]!BTC_data[[#This Row],[low]]</f>
        <v>62.900000000008731</v>
      </c>
      <c r="I82" s="6">
        <f>[1]!BTC_data[[#This Row],[CandleRange]]/[1]!BTC_data[[#This Row],[open]]</f>
        <v>6.7295974973181894E-4</v>
      </c>
      <c r="J82" s="7">
        <f>ABS([1]!BTC_data[[#This Row],[open]]-[1]!BTC_data[[#This Row],[close]])</f>
        <v>62.900000000008731</v>
      </c>
      <c r="K82" s="6">
        <f>[1]!BTC_data[[#This Row],[CandleBody]]/[1]!BTC_data[[#This Row],[open]]</f>
        <v>6.7295974973181894E-4</v>
      </c>
      <c r="L82" s="8">
        <f>IF([1]!BTC_data[[#This Row],[CandleRange]]&gt;0,([1]!BTC_data[[#This Row],[close]]-[1]!BTC_data[[#This Row],[low]])/[1]!BTC_data[[#This Row],[CandleRange]],"")</f>
        <v>1</v>
      </c>
      <c r="M82" s="8">
        <f>IF([1]!BTC_data[[#This Row],[quote_volume]]&gt;0,[1]!BTC_data[[#This Row],[taker_buy_quote_volume]]/[1]!BTC_data[[#This Row],[quote_volume]],"")</f>
        <v>0.89847103073445223</v>
      </c>
      <c r="N82" t="str" cm="1">
        <f t="array" ref="N82">_xlfn.IFS([1]!BTC_data[[#This Row],[open]]-[1]!BTC_data[[#This Row],[close]]&gt;0,"Bearish",[1]!BTC_data[[#This Row],[open]]-[1]!BTC_data[[#This Row],[close]]&lt;0,"Bullish",TRUE,"Neutral")</f>
        <v>Bullish</v>
      </c>
      <c r="O82" s="8">
        <f>IF([1]!BTC_data[[#This Row],[CandleRange]]&gt;0,[1]!BTC_data[[#This Row],[CandleBody]]/[1]!BTC_data[[#This Row],[CandleRange]],"")</f>
        <v>1</v>
      </c>
      <c r="P82" s="9" t="str" cm="1">
        <f t="array" ref="P82">_xlfn.IFS([1]!BTC_data[[#This Row],[BodyToRangeRatio]]&gt;=0.7,"Directional",[1]!BTC_data[[#This Row],[BodyToRangeRatio]]&lt;=0.3,"Indecision",TRUE,"Mixed")</f>
        <v>Directional</v>
      </c>
      <c r="Q82" s="9" t="str" cm="1">
        <f t="array" ref="Q82">_xlfn.IFS([1]!BTC_data[[#This Row],[HourUTC]]&lt;8,"Asia",[1]!BTC_data[[#This Row],[HourUTC]]&lt;13,"London",[1]!BTC_data[[#This Row],[HourUTC]]&lt;21,"New York",TRUE,"AfterHours")</f>
        <v>Asia</v>
      </c>
    </row>
    <row r="83" spans="1:17" x14ac:dyDescent="0.3">
      <c r="A83" s="10">
        <v>93500</v>
      </c>
      <c r="B83" s="10">
        <v>93503.7</v>
      </c>
      <c r="C83" s="10">
        <v>5866</v>
      </c>
      <c r="D83" s="10">
        <v>6.2723996099999999</v>
      </c>
      <c r="E83" s="10">
        <v>163</v>
      </c>
      <c r="F83" s="10">
        <v>1841</v>
      </c>
      <c r="G83" s="10">
        <v>1.9687876600000001</v>
      </c>
      <c r="H83" s="10">
        <f>[1]!BTC_data[[#This Row],[high]]-[1]!BTC_data[[#This Row],[low]]</f>
        <v>54.69999999999709</v>
      </c>
      <c r="I83" s="11">
        <f>[1]!BTC_data[[#This Row],[CandleRange]]/[1]!BTC_data[[#This Row],[open]]</f>
        <v>5.848347120250045E-4</v>
      </c>
      <c r="J83" s="12">
        <f>ABS([1]!BTC_data[[#This Row],[open]]-[1]!BTC_data[[#This Row],[close]])</f>
        <v>27</v>
      </c>
      <c r="K83" s="11">
        <f>[1]!BTC_data[[#This Row],[CandleBody]]/[1]!BTC_data[[#This Row],[open]]</f>
        <v>2.8867526918968851E-4</v>
      </c>
      <c r="L83" s="13">
        <f>IF([1]!BTC_data[[#This Row],[CandleRange]]&gt;0,([1]!BTC_data[[#This Row],[close]]-[1]!BTC_data[[#This Row],[low]])/[1]!BTC_data[[#This Row],[CandleRange]],"")</f>
        <v>6.76416819012301E-2</v>
      </c>
      <c r="M83" s="13">
        <f>IF([1]!BTC_data[[#This Row],[quote_volume]]&gt;0,[1]!BTC_data[[#This Row],[taker_buy_quote_volume]]/[1]!BTC_data[[#This Row],[quote_volume]],"")</f>
        <v>0.31388109534048009</v>
      </c>
      <c r="N83" t="str" cm="1">
        <f t="array" ref="N83">_xlfn.IFS([1]!BTC_data[[#This Row],[open]]-[1]!BTC_data[[#This Row],[close]]&gt;0,"Bearish",[1]!BTC_data[[#This Row],[open]]-[1]!BTC_data[[#This Row],[close]]&lt;0,"Bullish",TRUE,"Neutral")</f>
        <v>Bearish</v>
      </c>
      <c r="O83" s="13">
        <f>IF([1]!BTC_data[[#This Row],[CandleRange]]&gt;0,[1]!BTC_data[[#This Row],[CandleBody]]/[1]!BTC_data[[#This Row],[CandleRange]],"")</f>
        <v>0.49360146252287818</v>
      </c>
      <c r="P83" s="9" t="str" cm="1">
        <f t="array" ref="P83">_xlfn.IFS([1]!BTC_data[[#This Row],[BodyToRangeRatio]]&gt;=0.7,"Directional",[1]!BTC_data[[#This Row],[BodyToRangeRatio]]&lt;=0.3,"Indecision",TRUE,"Mixed")</f>
        <v>Mixed</v>
      </c>
      <c r="Q83" s="9" t="str" cm="1">
        <f t="array" ref="Q83">_xlfn.IFS([1]!BTC_data[[#This Row],[HourUTC]]&lt;8,"Asia",[1]!BTC_data[[#This Row],[HourUTC]]&lt;13,"London",[1]!BTC_data[[#This Row],[HourUTC]]&lt;21,"New York",TRUE,"AfterHours")</f>
        <v>Asia</v>
      </c>
    </row>
    <row r="84" spans="1:17" x14ac:dyDescent="0.3">
      <c r="A84" s="5">
        <v>93488.8</v>
      </c>
      <c r="B84" s="5">
        <v>93544.3</v>
      </c>
      <c r="C84" s="5">
        <v>8598</v>
      </c>
      <c r="D84" s="5">
        <v>9.1934587699999994</v>
      </c>
      <c r="E84" s="5">
        <v>150</v>
      </c>
      <c r="F84" s="5">
        <v>6309</v>
      </c>
      <c r="G84" s="5">
        <v>6.7455184700000004</v>
      </c>
      <c r="H84" s="5">
        <f>[1]!BTC_data[[#This Row],[high]]-[1]!BTC_data[[#This Row],[low]]</f>
        <v>55.5</v>
      </c>
      <c r="I84" s="6">
        <f>[1]!BTC_data[[#This Row],[CandleRange]]/[1]!BTC_data[[#This Row],[open]]</f>
        <v>5.935593992537194E-4</v>
      </c>
      <c r="J84" s="7">
        <f>ABS([1]!BTC_data[[#This Row],[open]]-[1]!BTC_data[[#This Row],[close]])</f>
        <v>40.600000000005821</v>
      </c>
      <c r="K84" s="6">
        <f>[1]!BTC_data[[#This Row],[CandleBody]]/[1]!BTC_data[[#This Row],[open]]</f>
        <v>4.342074163910714E-4</v>
      </c>
      <c r="L84" s="8">
        <f>IF([1]!BTC_data[[#This Row],[CandleRange]]&gt;0,([1]!BTC_data[[#This Row],[close]]-[1]!BTC_data[[#This Row],[low]])/[1]!BTC_data[[#This Row],[CandleRange]],"")</f>
        <v>1</v>
      </c>
      <c r="M84" s="8">
        <f>IF([1]!BTC_data[[#This Row],[quote_volume]]&gt;0,[1]!BTC_data[[#This Row],[taker_buy_quote_volume]]/[1]!BTC_data[[#This Row],[quote_volume]],"")</f>
        <v>0.73373021392252358</v>
      </c>
      <c r="N84" t="str" cm="1">
        <f t="array" ref="N84">_xlfn.IFS([1]!BTC_data[[#This Row],[open]]-[1]!BTC_data[[#This Row],[close]]&gt;0,"Bearish",[1]!BTC_data[[#This Row],[open]]-[1]!BTC_data[[#This Row],[close]]&lt;0,"Bullish",TRUE,"Neutral")</f>
        <v>Bullish</v>
      </c>
      <c r="O84" s="8">
        <f>IF([1]!BTC_data[[#This Row],[CandleRange]]&gt;0,[1]!BTC_data[[#This Row],[CandleBody]]/[1]!BTC_data[[#This Row],[CandleRange]],"")</f>
        <v>0.73153153153163641</v>
      </c>
      <c r="P84" s="9" t="str" cm="1">
        <f t="array" ref="P84">_xlfn.IFS([1]!BTC_data[[#This Row],[BodyToRangeRatio]]&gt;=0.7,"Directional",[1]!BTC_data[[#This Row],[BodyToRangeRatio]]&lt;=0.3,"Indecision",TRUE,"Mixed")</f>
        <v>Directional</v>
      </c>
      <c r="Q84" s="9" t="str" cm="1">
        <f t="array" ref="Q84">_xlfn.IFS([1]!BTC_data[[#This Row],[HourUTC]]&lt;8,"Asia",[1]!BTC_data[[#This Row],[HourUTC]]&lt;13,"London",[1]!BTC_data[[#This Row],[HourUTC]]&lt;21,"New York",TRUE,"AfterHours")</f>
        <v>Asia</v>
      </c>
    </row>
    <row r="85" spans="1:17" x14ac:dyDescent="0.3">
      <c r="A85" s="10">
        <v>93544.3</v>
      </c>
      <c r="B85" s="10">
        <v>93588.6</v>
      </c>
      <c r="C85" s="10">
        <v>9328</v>
      </c>
      <c r="D85" s="10">
        <v>9.9695147199999994</v>
      </c>
      <c r="E85" s="10">
        <v>221</v>
      </c>
      <c r="F85" s="10">
        <v>6759</v>
      </c>
      <c r="G85" s="10">
        <v>7.2238701399999998</v>
      </c>
      <c r="H85" s="10">
        <f>[1]!BTC_data[[#This Row],[high]]-[1]!BTC_data[[#This Row],[low]]</f>
        <v>44.399999999994179</v>
      </c>
      <c r="I85" s="11">
        <f>[1]!BTC_data[[#This Row],[CandleRange]]/[1]!BTC_data[[#This Row],[open]]</f>
        <v>4.7463584526865227E-4</v>
      </c>
      <c r="J85" s="12">
        <f>ABS([1]!BTC_data[[#This Row],[open]]-[1]!BTC_data[[#This Row],[close]])</f>
        <v>43.200000000011642</v>
      </c>
      <c r="K85" s="11">
        <f>[1]!BTC_data[[#This Row],[CandleBody]]/[1]!BTC_data[[#This Row],[open]]</f>
        <v>4.6180784945076554E-4</v>
      </c>
      <c r="L85" s="13">
        <f>IF([1]!BTC_data[[#This Row],[CandleRange]]&gt;0,([1]!BTC_data[[#This Row],[close]]-[1]!BTC_data[[#This Row],[low]])/[1]!BTC_data[[#This Row],[CandleRange]],"")</f>
        <v>0.99774774774794406</v>
      </c>
      <c r="M85" s="13">
        <f>IF([1]!BTC_data[[#This Row],[quote_volume]]&gt;0,[1]!BTC_data[[#This Row],[taker_buy_quote_volume]]/[1]!BTC_data[[#This Row],[quote_volume]],"")</f>
        <v>0.72459596508825863</v>
      </c>
      <c r="N85" t="str" cm="1">
        <f t="array" ref="N85">_xlfn.IFS([1]!BTC_data[[#This Row],[open]]-[1]!BTC_data[[#This Row],[close]]&gt;0,"Bearish",[1]!BTC_data[[#This Row],[open]]-[1]!BTC_data[[#This Row],[close]]&lt;0,"Bullish",TRUE,"Neutral")</f>
        <v>Bullish</v>
      </c>
      <c r="O85" s="13">
        <f>IF([1]!BTC_data[[#This Row],[CandleRange]]&gt;0,[1]!BTC_data[[#This Row],[CandleBody]]/[1]!BTC_data[[#This Row],[CandleRange]],"")</f>
        <v>0.97297297297336272</v>
      </c>
      <c r="P85" s="9" t="str" cm="1">
        <f t="array" ref="P85">_xlfn.IFS([1]!BTC_data[[#This Row],[BodyToRangeRatio]]&gt;=0.7,"Directional",[1]!BTC_data[[#This Row],[BodyToRangeRatio]]&lt;=0.3,"Indecision",TRUE,"Mixed")</f>
        <v>Directional</v>
      </c>
      <c r="Q85" s="9" t="str" cm="1">
        <f t="array" ref="Q85">_xlfn.IFS([1]!BTC_data[[#This Row],[HourUTC]]&lt;8,"Asia",[1]!BTC_data[[#This Row],[HourUTC]]&lt;13,"London",[1]!BTC_data[[#This Row],[HourUTC]]&lt;21,"New York",TRUE,"AfterHours")</f>
        <v>Asia</v>
      </c>
    </row>
    <row r="86" spans="1:17" x14ac:dyDescent="0.3">
      <c r="A86" s="5">
        <v>93515.1</v>
      </c>
      <c r="B86" s="5">
        <v>93515.1</v>
      </c>
      <c r="C86" s="5">
        <v>10659</v>
      </c>
      <c r="D86" s="5">
        <v>11.39308797</v>
      </c>
      <c r="E86" s="5">
        <v>223</v>
      </c>
      <c r="F86" s="5">
        <v>4427</v>
      </c>
      <c r="G86" s="5">
        <v>4.7310129700000001</v>
      </c>
      <c r="H86" s="5">
        <f>[1]!BTC_data[[#This Row],[high]]-[1]!BTC_data[[#This Row],[low]]</f>
        <v>73.399999999994179</v>
      </c>
      <c r="I86" s="6">
        <f>[1]!BTC_data[[#This Row],[CandleRange]]/[1]!BTC_data[[#This Row],[open]]</f>
        <v>7.8428439391585697E-4</v>
      </c>
      <c r="J86" s="7">
        <f>ABS([1]!BTC_data[[#This Row],[open]]-[1]!BTC_data[[#This Row],[close]])</f>
        <v>73.399999999994179</v>
      </c>
      <c r="K86" s="6">
        <f>[1]!BTC_data[[#This Row],[CandleBody]]/[1]!BTC_data[[#This Row],[open]]</f>
        <v>7.8428439391585697E-4</v>
      </c>
      <c r="L86" s="8">
        <f>IF([1]!BTC_data[[#This Row],[CandleRange]]&gt;0,([1]!BTC_data[[#This Row],[close]]-[1]!BTC_data[[#This Row],[low]])/[1]!BTC_data[[#This Row],[CandleRange]],"")</f>
        <v>0</v>
      </c>
      <c r="M86" s="8">
        <f>IF([1]!BTC_data[[#This Row],[quote_volume]]&gt;0,[1]!BTC_data[[#This Row],[taker_buy_quote_volume]]/[1]!BTC_data[[#This Row],[quote_volume]],"")</f>
        <v>0.41525291320997326</v>
      </c>
      <c r="N86" t="str" cm="1">
        <f t="array" ref="N86">_xlfn.IFS([1]!BTC_data[[#This Row],[open]]-[1]!BTC_data[[#This Row],[close]]&gt;0,"Bearish",[1]!BTC_data[[#This Row],[open]]-[1]!BTC_data[[#This Row],[close]]&lt;0,"Bullish",TRUE,"Neutral")</f>
        <v>Bearish</v>
      </c>
      <c r="O86" s="8">
        <f>IF([1]!BTC_data[[#This Row],[CandleRange]]&gt;0,[1]!BTC_data[[#This Row],[CandleBody]]/[1]!BTC_data[[#This Row],[CandleRange]],"")</f>
        <v>1</v>
      </c>
      <c r="P86" s="9" t="str" cm="1">
        <f t="array" ref="P86">_xlfn.IFS([1]!BTC_data[[#This Row],[BodyToRangeRatio]]&gt;=0.7,"Directional",[1]!BTC_data[[#This Row],[BodyToRangeRatio]]&lt;=0.3,"Indecision",TRUE,"Mixed")</f>
        <v>Directional</v>
      </c>
      <c r="Q86" s="9" t="str" cm="1">
        <f t="array" ref="Q86">_xlfn.IFS([1]!BTC_data[[#This Row],[HourUTC]]&lt;8,"Asia",[1]!BTC_data[[#This Row],[HourUTC]]&lt;13,"London",[1]!BTC_data[[#This Row],[HourUTC]]&lt;21,"New York",TRUE,"AfterHours")</f>
        <v>Asia</v>
      </c>
    </row>
    <row r="87" spans="1:17" x14ac:dyDescent="0.3">
      <c r="A87" s="10">
        <v>93484.7</v>
      </c>
      <c r="B87" s="10">
        <v>93484.7</v>
      </c>
      <c r="C87" s="10">
        <v>12564</v>
      </c>
      <c r="D87" s="10">
        <v>13.437109619999999</v>
      </c>
      <c r="E87" s="10">
        <v>179</v>
      </c>
      <c r="F87" s="10">
        <v>4489</v>
      </c>
      <c r="G87" s="10">
        <v>4.80078066</v>
      </c>
      <c r="H87" s="10">
        <f>[1]!BTC_data[[#This Row],[high]]-[1]!BTC_data[[#This Row],[low]]</f>
        <v>44.80000000000291</v>
      </c>
      <c r="I87" s="11">
        <f>[1]!BTC_data[[#This Row],[CandleRange]]/[1]!BTC_data[[#This Row],[open]]</f>
        <v>4.7906701698445395E-4</v>
      </c>
      <c r="J87" s="12">
        <f>ABS([1]!BTC_data[[#This Row],[open]]-[1]!BTC_data[[#This Row],[close]])</f>
        <v>30.400000000008731</v>
      </c>
      <c r="K87" s="11">
        <f>[1]!BTC_data[[#This Row],[CandleBody]]/[1]!BTC_data[[#This Row],[open]]</f>
        <v>3.2508119009666596E-4</v>
      </c>
      <c r="L87" s="13">
        <f>IF([1]!BTC_data[[#This Row],[CandleRange]]&gt;0,([1]!BTC_data[[#This Row],[close]]-[1]!BTC_data[[#This Row],[low]])/[1]!BTC_data[[#This Row],[CandleRange]],"")</f>
        <v>0</v>
      </c>
      <c r="M87" s="13">
        <f>IF([1]!BTC_data[[#This Row],[quote_volume]]&gt;0,[1]!BTC_data[[#This Row],[taker_buy_quote_volume]]/[1]!BTC_data[[#This Row],[quote_volume]],"")</f>
        <v>0.35727777742130234</v>
      </c>
      <c r="N87" t="str" cm="1">
        <f t="array" ref="N87">_xlfn.IFS([1]!BTC_data[[#This Row],[open]]-[1]!BTC_data[[#This Row],[close]]&gt;0,"Bearish",[1]!BTC_data[[#This Row],[open]]-[1]!BTC_data[[#This Row],[close]]&lt;0,"Bullish",TRUE,"Neutral")</f>
        <v>Bearish</v>
      </c>
      <c r="O87" s="13">
        <f>IF([1]!BTC_data[[#This Row],[CandleRange]]&gt;0,[1]!BTC_data[[#This Row],[CandleBody]]/[1]!BTC_data[[#This Row],[CandleRange]],"")</f>
        <v>0.67857142857157937</v>
      </c>
      <c r="P87" s="9" t="str" cm="1">
        <f t="array" ref="P87">_xlfn.IFS([1]!BTC_data[[#This Row],[BodyToRangeRatio]]&gt;=0.7,"Directional",[1]!BTC_data[[#This Row],[BodyToRangeRatio]]&lt;=0.3,"Indecision",TRUE,"Mixed")</f>
        <v>Mixed</v>
      </c>
      <c r="Q87" s="9" t="str" cm="1">
        <f t="array" ref="Q87">_xlfn.IFS([1]!BTC_data[[#This Row],[HourUTC]]&lt;8,"Asia",[1]!BTC_data[[#This Row],[HourUTC]]&lt;13,"London",[1]!BTC_data[[#This Row],[HourUTC]]&lt;21,"New York",TRUE,"AfterHours")</f>
        <v>Asia</v>
      </c>
    </row>
    <row r="88" spans="1:17" x14ac:dyDescent="0.3">
      <c r="A88" s="5">
        <v>93484.7</v>
      </c>
      <c r="B88" s="5">
        <v>93509.7</v>
      </c>
      <c r="C88" s="5">
        <v>12979</v>
      </c>
      <c r="D88" s="5">
        <v>13.8807756</v>
      </c>
      <c r="E88" s="5">
        <v>217</v>
      </c>
      <c r="F88" s="5">
        <v>6511</v>
      </c>
      <c r="G88" s="5">
        <v>6.9639033699999997</v>
      </c>
      <c r="H88" s="5">
        <f>[1]!BTC_data[[#This Row],[high]]-[1]!BTC_data[[#This Row],[low]]</f>
        <v>29.80000000000291</v>
      </c>
      <c r="I88" s="6">
        <f>[1]!BTC_data[[#This Row],[CandleRange]]/[1]!BTC_data[[#This Row],[open]]</f>
        <v>3.1876873969754316E-4</v>
      </c>
      <c r="J88" s="7">
        <f>ABS([1]!BTC_data[[#This Row],[open]]-[1]!BTC_data[[#This Row],[close]])</f>
        <v>25</v>
      </c>
      <c r="K88" s="6">
        <f>[1]!BTC_data[[#This Row],[CandleBody]]/[1]!BTC_data[[#This Row],[open]]</f>
        <v>2.6742343934355034E-4</v>
      </c>
      <c r="L88" s="8">
        <f>IF([1]!BTC_data[[#This Row],[CandleRange]]&gt;0,([1]!BTC_data[[#This Row],[close]]-[1]!BTC_data[[#This Row],[low]])/[1]!BTC_data[[#This Row],[CandleRange]],"")</f>
        <v>0.83892617449656237</v>
      </c>
      <c r="M88" s="8">
        <f>IF([1]!BTC_data[[#This Row],[quote_volume]]&gt;0,[1]!BTC_data[[#This Row],[taker_buy_quote_volume]]/[1]!BTC_data[[#This Row],[quote_volume]],"")</f>
        <v>0.50169411066626568</v>
      </c>
      <c r="N88" t="str" cm="1">
        <f t="array" ref="N88">_xlfn.IFS([1]!BTC_data[[#This Row],[open]]-[1]!BTC_data[[#This Row],[close]]&gt;0,"Bearish",[1]!BTC_data[[#This Row],[open]]-[1]!BTC_data[[#This Row],[close]]&lt;0,"Bullish",TRUE,"Neutral")</f>
        <v>Bullish</v>
      </c>
      <c r="O88" s="8">
        <f>IF([1]!BTC_data[[#This Row],[CandleRange]]&gt;0,[1]!BTC_data[[#This Row],[CandleBody]]/[1]!BTC_data[[#This Row],[CandleRange]],"")</f>
        <v>0.83892617449656237</v>
      </c>
      <c r="P88" s="9" t="str" cm="1">
        <f t="array" ref="P88">_xlfn.IFS([1]!BTC_data[[#This Row],[BodyToRangeRatio]]&gt;=0.7,"Directional",[1]!BTC_data[[#This Row],[BodyToRangeRatio]]&lt;=0.3,"Indecision",TRUE,"Mixed")</f>
        <v>Directional</v>
      </c>
      <c r="Q88" s="9" t="str" cm="1">
        <f t="array" ref="Q88">_xlfn.IFS([1]!BTC_data[[#This Row],[HourUTC]]&lt;8,"Asia",[1]!BTC_data[[#This Row],[HourUTC]]&lt;13,"London",[1]!BTC_data[[#This Row],[HourUTC]]&lt;21,"New York",TRUE,"AfterHours")</f>
        <v>Asia</v>
      </c>
    </row>
    <row r="89" spans="1:17" x14ac:dyDescent="0.3">
      <c r="A89" s="10">
        <v>93509.7</v>
      </c>
      <c r="B89" s="10">
        <v>93558.1</v>
      </c>
      <c r="C89" s="10">
        <v>8725</v>
      </c>
      <c r="D89" s="10">
        <v>9.3276161700000007</v>
      </c>
      <c r="E89" s="10">
        <v>233</v>
      </c>
      <c r="F89" s="10">
        <v>3407</v>
      </c>
      <c r="G89" s="10">
        <v>3.6431281100000001</v>
      </c>
      <c r="H89" s="10">
        <f>[1]!BTC_data[[#This Row],[high]]-[1]!BTC_data[[#This Row],[low]]</f>
        <v>48.80000000000291</v>
      </c>
      <c r="I89" s="11">
        <f>[1]!BTC_data[[#This Row],[CandleRange]]/[1]!BTC_data[[#This Row],[open]]</f>
        <v>5.2187099306278296E-4</v>
      </c>
      <c r="J89" s="12">
        <f>ABS([1]!BTC_data[[#This Row],[open]]-[1]!BTC_data[[#This Row],[close]])</f>
        <v>48.400000000008731</v>
      </c>
      <c r="K89" s="11">
        <f>[1]!BTC_data[[#This Row],[CandleBody]]/[1]!BTC_data[[#This Row],[open]]</f>
        <v>5.1759336197216687E-4</v>
      </c>
      <c r="L89" s="13">
        <f>IF([1]!BTC_data[[#This Row],[CandleRange]]&gt;0,([1]!BTC_data[[#This Row],[close]]-[1]!BTC_data[[#This Row],[low]])/[1]!BTC_data[[#This Row],[CandleRange]],"")</f>
        <v>0.99180327868864437</v>
      </c>
      <c r="M89" s="13">
        <f>IF([1]!BTC_data[[#This Row],[quote_volume]]&gt;0,[1]!BTC_data[[#This Row],[taker_buy_quote_volume]]/[1]!BTC_data[[#This Row],[quote_volume]],"")</f>
        <v>0.39057440224837209</v>
      </c>
      <c r="N89" t="str" cm="1">
        <f t="array" ref="N89">_xlfn.IFS([1]!BTC_data[[#This Row],[open]]-[1]!BTC_data[[#This Row],[close]]&gt;0,"Bearish",[1]!BTC_data[[#This Row],[open]]-[1]!BTC_data[[#This Row],[close]]&lt;0,"Bullish",TRUE,"Neutral")</f>
        <v>Bullish</v>
      </c>
      <c r="O89" s="13">
        <f>IF([1]!BTC_data[[#This Row],[CandleRange]]&gt;0,[1]!BTC_data[[#This Row],[CandleBody]]/[1]!BTC_data[[#This Row],[CandleRange]],"")</f>
        <v>0.99180327868864437</v>
      </c>
      <c r="P89" s="9" t="str" cm="1">
        <f t="array" ref="P89">_xlfn.IFS([1]!BTC_data[[#This Row],[BodyToRangeRatio]]&gt;=0.7,"Directional",[1]!BTC_data[[#This Row],[BodyToRangeRatio]]&lt;=0.3,"Indecision",TRUE,"Mixed")</f>
        <v>Directional</v>
      </c>
      <c r="Q89" s="9" t="str" cm="1">
        <f t="array" ref="Q89">_xlfn.IFS([1]!BTC_data[[#This Row],[HourUTC]]&lt;8,"Asia",[1]!BTC_data[[#This Row],[HourUTC]]&lt;13,"London",[1]!BTC_data[[#This Row],[HourUTC]]&lt;21,"New York",TRUE,"AfterHours")</f>
        <v>Asia</v>
      </c>
    </row>
    <row r="90" spans="1:17" x14ac:dyDescent="0.3">
      <c r="A90" s="5">
        <v>93547.3</v>
      </c>
      <c r="B90" s="5">
        <v>93565.8</v>
      </c>
      <c r="C90" s="5">
        <v>8490</v>
      </c>
      <c r="D90" s="5">
        <v>9.0736224100000005</v>
      </c>
      <c r="E90" s="5">
        <v>291</v>
      </c>
      <c r="F90" s="5">
        <v>4827</v>
      </c>
      <c r="G90" s="5">
        <v>5.1590542700000004</v>
      </c>
      <c r="H90" s="5">
        <f>[1]!BTC_data[[#This Row],[high]]-[1]!BTC_data[[#This Row],[low]]</f>
        <v>39.5</v>
      </c>
      <c r="I90" s="6">
        <f>[1]!BTC_data[[#This Row],[CandleRange]]/[1]!BTC_data[[#This Row],[open]]</f>
        <v>4.2219754355849462E-4</v>
      </c>
      <c r="J90" s="7">
        <f>ABS([1]!BTC_data[[#This Row],[open]]-[1]!BTC_data[[#This Row],[close]])</f>
        <v>7.6999999999970896</v>
      </c>
      <c r="K90" s="6">
        <f>[1]!BTC_data[[#This Row],[CandleBody]]/[1]!BTC_data[[#This Row],[open]]</f>
        <v>8.2301799630358981E-5</v>
      </c>
      <c r="L90" s="8">
        <f>IF([1]!BTC_data[[#This Row],[CandleRange]]&gt;0,([1]!BTC_data[[#This Row],[close]]-[1]!BTC_data[[#This Row],[low]])/[1]!BTC_data[[#This Row],[CandleRange]],"")</f>
        <v>0.46835443037974683</v>
      </c>
      <c r="M90" s="8">
        <f>IF([1]!BTC_data[[#This Row],[quote_volume]]&gt;0,[1]!BTC_data[[#This Row],[taker_buy_quote_volume]]/[1]!BTC_data[[#This Row],[quote_volume]],"")</f>
        <v>0.56857713897309947</v>
      </c>
      <c r="N90" t="str" cm="1">
        <f t="array" ref="N90">_xlfn.IFS([1]!BTC_data[[#This Row],[open]]-[1]!BTC_data[[#This Row],[close]]&gt;0,"Bearish",[1]!BTC_data[[#This Row],[open]]-[1]!BTC_data[[#This Row],[close]]&lt;0,"Bullish",TRUE,"Neutral")</f>
        <v>Bullish</v>
      </c>
      <c r="O90" s="8">
        <f>IF([1]!BTC_data[[#This Row],[CandleRange]]&gt;0,[1]!BTC_data[[#This Row],[CandleBody]]/[1]!BTC_data[[#This Row],[CandleRange]],"")</f>
        <v>0.19493670886068581</v>
      </c>
      <c r="P90" s="9" t="str" cm="1">
        <f t="array" ref="P90">_xlfn.IFS([1]!BTC_data[[#This Row],[BodyToRangeRatio]]&gt;=0.7,"Directional",[1]!BTC_data[[#This Row],[BodyToRangeRatio]]&lt;=0.3,"Indecision",TRUE,"Mixed")</f>
        <v>Indecision</v>
      </c>
      <c r="Q90" s="9" t="str" cm="1">
        <f t="array" ref="Q90">_xlfn.IFS([1]!BTC_data[[#This Row],[HourUTC]]&lt;8,"Asia",[1]!BTC_data[[#This Row],[HourUTC]]&lt;13,"London",[1]!BTC_data[[#This Row],[HourUTC]]&lt;21,"New York",TRUE,"AfterHours")</f>
        <v>Asia</v>
      </c>
    </row>
    <row r="91" spans="1:17" x14ac:dyDescent="0.3">
      <c r="A91" s="10">
        <v>93569.8</v>
      </c>
      <c r="B91" s="10">
        <v>93611.4</v>
      </c>
      <c r="C91" s="10">
        <v>4591</v>
      </c>
      <c r="D91" s="10">
        <v>4.90476972</v>
      </c>
      <c r="E91" s="10">
        <v>201</v>
      </c>
      <c r="F91" s="10">
        <v>4429</v>
      </c>
      <c r="G91" s="10">
        <v>4.7316883000000001</v>
      </c>
      <c r="H91" s="10">
        <f>[1]!BTC_data[[#This Row],[high]]-[1]!BTC_data[[#This Row],[low]]</f>
        <v>41.599999999991269</v>
      </c>
      <c r="I91" s="11">
        <f>[1]!BTC_data[[#This Row],[CandleRange]]/[1]!BTC_data[[#This Row],[open]]</f>
        <v>4.4458789053723817E-4</v>
      </c>
      <c r="J91" s="12">
        <f>ABS([1]!BTC_data[[#This Row],[open]]-[1]!BTC_data[[#This Row],[close]])</f>
        <v>41.599999999991269</v>
      </c>
      <c r="K91" s="11">
        <f>[1]!BTC_data[[#This Row],[CandleBody]]/[1]!BTC_data[[#This Row],[open]]</f>
        <v>4.4458789053723817E-4</v>
      </c>
      <c r="L91" s="13">
        <f>IF([1]!BTC_data[[#This Row],[CandleRange]]&gt;0,([1]!BTC_data[[#This Row],[close]]-[1]!BTC_data[[#This Row],[low]])/[1]!BTC_data[[#This Row],[CandleRange]],"")</f>
        <v>1</v>
      </c>
      <c r="M91" s="13">
        <f>IF([1]!BTC_data[[#This Row],[quote_volume]]&gt;0,[1]!BTC_data[[#This Row],[taker_buy_quote_volume]]/[1]!BTC_data[[#This Row],[quote_volume]],"")</f>
        <v>0.96471161137408101</v>
      </c>
      <c r="N91" t="str" cm="1">
        <f t="array" ref="N91">_xlfn.IFS([1]!BTC_data[[#This Row],[open]]-[1]!BTC_data[[#This Row],[close]]&gt;0,"Bearish",[1]!BTC_data[[#This Row],[open]]-[1]!BTC_data[[#This Row],[close]]&lt;0,"Bullish",TRUE,"Neutral")</f>
        <v>Bullish</v>
      </c>
      <c r="O91" s="13">
        <f>IF([1]!BTC_data[[#This Row],[CandleRange]]&gt;0,[1]!BTC_data[[#This Row],[CandleBody]]/[1]!BTC_data[[#This Row],[CandleRange]],"")</f>
        <v>1</v>
      </c>
      <c r="P91" s="9" t="str" cm="1">
        <f t="array" ref="P91">_xlfn.IFS([1]!BTC_data[[#This Row],[BodyToRangeRatio]]&gt;=0.7,"Directional",[1]!BTC_data[[#This Row],[BodyToRangeRatio]]&lt;=0.3,"Indecision",TRUE,"Mixed")</f>
        <v>Directional</v>
      </c>
      <c r="Q91" s="9" t="str" cm="1">
        <f t="array" ref="Q91">_xlfn.IFS([1]!BTC_data[[#This Row],[HourUTC]]&lt;8,"Asia",[1]!BTC_data[[#This Row],[HourUTC]]&lt;13,"London",[1]!BTC_data[[#This Row],[HourUTC]]&lt;21,"New York",TRUE,"AfterHours")</f>
        <v>Asia</v>
      </c>
    </row>
    <row r="92" spans="1:17" x14ac:dyDescent="0.3">
      <c r="A92" s="5">
        <v>93592.1</v>
      </c>
      <c r="B92" s="5">
        <v>93592.1</v>
      </c>
      <c r="C92" s="5">
        <v>8774</v>
      </c>
      <c r="D92" s="5">
        <v>9.3737206400000002</v>
      </c>
      <c r="E92" s="5">
        <v>216</v>
      </c>
      <c r="F92" s="5">
        <v>2052</v>
      </c>
      <c r="G92" s="5">
        <v>2.1923291100000002</v>
      </c>
      <c r="H92" s="5">
        <f>[1]!BTC_data[[#This Row],[high]]-[1]!BTC_data[[#This Row],[low]]</f>
        <v>21.299999999988358</v>
      </c>
      <c r="I92" s="6">
        <f>[1]!BTC_data[[#This Row],[CandleRange]]/[1]!BTC_data[[#This Row],[open]]</f>
        <v>2.2753663286364313E-4</v>
      </c>
      <c r="J92" s="7">
        <f>ABS([1]!BTC_data[[#This Row],[open]]-[1]!BTC_data[[#This Row],[close]])</f>
        <v>19.19999999999709</v>
      </c>
      <c r="K92" s="6">
        <f>[1]!BTC_data[[#This Row],[CandleBody]]/[1]!BTC_data[[#This Row],[open]]</f>
        <v>2.0510344370815371E-4</v>
      </c>
      <c r="L92" s="8">
        <f>IF([1]!BTC_data[[#This Row],[CandleRange]]&gt;0,([1]!BTC_data[[#This Row],[close]]-[1]!BTC_data[[#This Row],[low]])/[1]!BTC_data[[#This Row],[CandleRange]],"")</f>
        <v>0</v>
      </c>
      <c r="M92" s="8">
        <f>IF([1]!BTC_data[[#This Row],[quote_volume]]&gt;0,[1]!BTC_data[[#This Row],[taker_buy_quote_volume]]/[1]!BTC_data[[#This Row],[quote_volume]],"")</f>
        <v>0.23388035489822323</v>
      </c>
      <c r="N92" t="str" cm="1">
        <f t="array" ref="N92">_xlfn.IFS([1]!BTC_data[[#This Row],[open]]-[1]!BTC_data[[#This Row],[close]]&gt;0,"Bearish",[1]!BTC_data[[#This Row],[open]]-[1]!BTC_data[[#This Row],[close]]&lt;0,"Bullish",TRUE,"Neutral")</f>
        <v>Bearish</v>
      </c>
      <c r="O92" s="8">
        <f>IF([1]!BTC_data[[#This Row],[CandleRange]]&gt;0,[1]!BTC_data[[#This Row],[CandleBody]]/[1]!BTC_data[[#This Row],[CandleRange]],"")</f>
        <v>0.90140845070458142</v>
      </c>
      <c r="P92" s="9" t="str" cm="1">
        <f t="array" ref="P92">_xlfn.IFS([1]!BTC_data[[#This Row],[BodyToRangeRatio]]&gt;=0.7,"Directional",[1]!BTC_data[[#This Row],[BodyToRangeRatio]]&lt;=0.3,"Indecision",TRUE,"Mixed")</f>
        <v>Directional</v>
      </c>
      <c r="Q92" s="9" t="str" cm="1">
        <f t="array" ref="Q92">_xlfn.IFS([1]!BTC_data[[#This Row],[HourUTC]]&lt;8,"Asia",[1]!BTC_data[[#This Row],[HourUTC]]&lt;13,"London",[1]!BTC_data[[#This Row],[HourUTC]]&lt;21,"New York",TRUE,"AfterHours")</f>
        <v>Asia</v>
      </c>
    </row>
    <row r="93" spans="1:17" x14ac:dyDescent="0.3">
      <c r="A93" s="10">
        <v>93588.9</v>
      </c>
      <c r="B93" s="10">
        <v>93608.2</v>
      </c>
      <c r="C93" s="10">
        <v>14121</v>
      </c>
      <c r="D93" s="10">
        <v>15.083897139999999</v>
      </c>
      <c r="E93" s="10">
        <v>312</v>
      </c>
      <c r="F93" s="10">
        <v>9931</v>
      </c>
      <c r="G93" s="10">
        <v>10.60782219</v>
      </c>
      <c r="H93" s="10">
        <f>[1]!BTC_data[[#This Row],[high]]-[1]!BTC_data[[#This Row],[low]]</f>
        <v>51.400000000008731</v>
      </c>
      <c r="I93" s="11">
        <f>[1]!BTC_data[[#This Row],[CandleRange]]/[1]!BTC_data[[#This Row],[open]]</f>
        <v>5.4919165185959851E-4</v>
      </c>
      <c r="J93" s="12">
        <f>ABS([1]!BTC_data[[#This Row],[open]]-[1]!BTC_data[[#This Row],[close]])</f>
        <v>16.099999999991269</v>
      </c>
      <c r="K93" s="11">
        <f>[1]!BTC_data[[#This Row],[CandleBody]]/[1]!BTC_data[[#This Row],[open]]</f>
        <v>1.7202306604928479E-4</v>
      </c>
      <c r="L93" s="13">
        <f>IF([1]!BTC_data[[#This Row],[CandleRange]]&gt;0,([1]!BTC_data[[#This Row],[close]]-[1]!BTC_data[[#This Row],[low]])/[1]!BTC_data[[#This Row],[CandleRange]],"")</f>
        <v>0.37548638132295004</v>
      </c>
      <c r="M93" s="13">
        <f>IF([1]!BTC_data[[#This Row],[quote_volume]]&gt;0,[1]!BTC_data[[#This Row],[taker_buy_quote_volume]]/[1]!BTC_data[[#This Row],[quote_volume]],"")</f>
        <v>0.70325474189755721</v>
      </c>
      <c r="N93" t="str" cm="1">
        <f t="array" ref="N93">_xlfn.IFS([1]!BTC_data[[#This Row],[open]]-[1]!BTC_data[[#This Row],[close]]&gt;0,"Bearish",[1]!BTC_data[[#This Row],[open]]-[1]!BTC_data[[#This Row],[close]]&lt;0,"Bullish",TRUE,"Neutral")</f>
        <v>Bullish</v>
      </c>
      <c r="O93" s="13">
        <f>IF([1]!BTC_data[[#This Row],[CandleRange]]&gt;0,[1]!BTC_data[[#This Row],[CandleBody]]/[1]!BTC_data[[#This Row],[CandleRange]],"")</f>
        <v>0.31322957198421275</v>
      </c>
      <c r="P93" s="9" t="str" cm="1">
        <f t="array" ref="P93">_xlfn.IFS([1]!BTC_data[[#This Row],[BodyToRangeRatio]]&gt;=0.7,"Directional",[1]!BTC_data[[#This Row],[BodyToRangeRatio]]&lt;=0.3,"Indecision",TRUE,"Mixed")</f>
        <v>Mixed</v>
      </c>
      <c r="Q93" s="9" t="str" cm="1">
        <f t="array" ref="Q93">_xlfn.IFS([1]!BTC_data[[#This Row],[HourUTC]]&lt;8,"Asia",[1]!BTC_data[[#This Row],[HourUTC]]&lt;13,"London",[1]!BTC_data[[#This Row],[HourUTC]]&lt;21,"New York",TRUE,"AfterHours")</f>
        <v>Asia</v>
      </c>
    </row>
    <row r="94" spans="1:17" x14ac:dyDescent="0.3">
      <c r="A94" s="5">
        <v>93561.5</v>
      </c>
      <c r="B94" s="5">
        <v>93574.8</v>
      </c>
      <c r="C94" s="5">
        <v>8512</v>
      </c>
      <c r="D94" s="5">
        <v>9.0963000100000002</v>
      </c>
      <c r="E94" s="5">
        <v>173</v>
      </c>
      <c r="F94" s="5">
        <v>3763</v>
      </c>
      <c r="G94" s="5">
        <v>4.0212831700000002</v>
      </c>
      <c r="H94" s="5">
        <f>[1]!BTC_data[[#This Row],[high]]-[1]!BTC_data[[#This Row],[low]]</f>
        <v>46.69999999999709</v>
      </c>
      <c r="I94" s="6">
        <f>[1]!BTC_data[[#This Row],[CandleRange]]/[1]!BTC_data[[#This Row],[open]]</f>
        <v>4.98887917938782E-4</v>
      </c>
      <c r="J94" s="7">
        <f>ABS([1]!BTC_data[[#This Row],[open]]-[1]!BTC_data[[#This Row],[close]])</f>
        <v>33.399999999994179</v>
      </c>
      <c r="K94" s="6">
        <f>[1]!BTC_data[[#This Row],[CandleBody]]/[1]!BTC_data[[#This Row],[open]]</f>
        <v>3.5680634816174416E-4</v>
      </c>
      <c r="L94" s="8">
        <f>IF([1]!BTC_data[[#This Row],[CandleRange]]&gt;0,([1]!BTC_data[[#This Row],[close]]-[1]!BTC_data[[#This Row],[low]])/[1]!BTC_data[[#This Row],[CandleRange]],"")</f>
        <v>0.28479657387588309</v>
      </c>
      <c r="M94" s="8">
        <f>IF([1]!BTC_data[[#This Row],[quote_volume]]&gt;0,[1]!BTC_data[[#This Row],[taker_buy_quote_volume]]/[1]!BTC_data[[#This Row],[quote_volume]],"")</f>
        <v>0.44207899536945905</v>
      </c>
      <c r="N94" t="str" cm="1">
        <f t="array" ref="N94">_xlfn.IFS([1]!BTC_data[[#This Row],[open]]-[1]!BTC_data[[#This Row],[close]]&gt;0,"Bearish",[1]!BTC_data[[#This Row],[open]]-[1]!BTC_data[[#This Row],[close]]&lt;0,"Bullish",TRUE,"Neutral")</f>
        <v>Bearish</v>
      </c>
      <c r="O94" s="8">
        <f>IF([1]!BTC_data[[#This Row],[CandleRange]]&gt;0,[1]!BTC_data[[#This Row],[CandleBody]]/[1]!BTC_data[[#This Row],[CandleRange]],"")</f>
        <v>0.71520342612411691</v>
      </c>
      <c r="P94" s="9" t="str" cm="1">
        <f t="array" ref="P94">_xlfn.IFS([1]!BTC_data[[#This Row],[BodyToRangeRatio]]&gt;=0.7,"Directional",[1]!BTC_data[[#This Row],[BodyToRangeRatio]]&lt;=0.3,"Indecision",TRUE,"Mixed")</f>
        <v>Directional</v>
      </c>
      <c r="Q94" s="9" t="str" cm="1">
        <f t="array" ref="Q94">_xlfn.IFS([1]!BTC_data[[#This Row],[HourUTC]]&lt;8,"Asia",[1]!BTC_data[[#This Row],[HourUTC]]&lt;13,"London",[1]!BTC_data[[#This Row],[HourUTC]]&lt;21,"New York",TRUE,"AfterHours")</f>
        <v>Asia</v>
      </c>
    </row>
    <row r="95" spans="1:17" x14ac:dyDescent="0.3">
      <c r="A95" s="10">
        <v>93544.2</v>
      </c>
      <c r="B95" s="10">
        <v>93544.2</v>
      </c>
      <c r="C95" s="10">
        <v>9063</v>
      </c>
      <c r="D95" s="10">
        <v>9.6868179899999998</v>
      </c>
      <c r="E95" s="10">
        <v>143</v>
      </c>
      <c r="F95" s="10">
        <v>1585</v>
      </c>
      <c r="G95" s="10">
        <v>1.6938279700000001</v>
      </c>
      <c r="H95" s="10">
        <f>[1]!BTC_data[[#This Row],[high]]-[1]!BTC_data[[#This Row],[low]]</f>
        <v>33.400000000008731</v>
      </c>
      <c r="I95" s="11">
        <f>[1]!BTC_data[[#This Row],[CandleRange]]/[1]!BTC_data[[#This Row],[open]]</f>
        <v>3.56933704373493E-4</v>
      </c>
      <c r="J95" s="12">
        <f>ABS([1]!BTC_data[[#This Row],[open]]-[1]!BTC_data[[#This Row],[close]])</f>
        <v>30.600000000005821</v>
      </c>
      <c r="K95" s="11">
        <f>[1]!BTC_data[[#This Row],[CandleBody]]/[1]!BTC_data[[#This Row],[open]]</f>
        <v>3.2701111837808705E-4</v>
      </c>
      <c r="L95" s="13">
        <f>IF([1]!BTC_data[[#This Row],[CandleRange]]&gt;0,([1]!BTC_data[[#This Row],[close]]-[1]!BTC_data[[#This Row],[low]])/[1]!BTC_data[[#This Row],[CandleRange]],"")</f>
        <v>0</v>
      </c>
      <c r="M95" s="13">
        <f>IF([1]!BTC_data[[#This Row],[quote_volume]]&gt;0,[1]!BTC_data[[#This Row],[taker_buy_quote_volume]]/[1]!BTC_data[[#This Row],[quote_volume]],"")</f>
        <v>0.17485906845246713</v>
      </c>
      <c r="N95" t="str" cm="1">
        <f t="array" ref="N95">_xlfn.IFS([1]!BTC_data[[#This Row],[open]]-[1]!BTC_data[[#This Row],[close]]&gt;0,"Bearish",[1]!BTC_data[[#This Row],[open]]-[1]!BTC_data[[#This Row],[close]]&lt;0,"Bullish",TRUE,"Neutral")</f>
        <v>Bearish</v>
      </c>
      <c r="O95" s="13">
        <f>IF([1]!BTC_data[[#This Row],[CandleRange]]&gt;0,[1]!BTC_data[[#This Row],[CandleBody]]/[1]!BTC_data[[#This Row],[CandleRange]],"")</f>
        <v>0.91616766467059341</v>
      </c>
      <c r="P95" s="9" t="str" cm="1">
        <f t="array" ref="P95">_xlfn.IFS([1]!BTC_data[[#This Row],[BodyToRangeRatio]]&gt;=0.7,"Directional",[1]!BTC_data[[#This Row],[BodyToRangeRatio]]&lt;=0.3,"Indecision",TRUE,"Mixed")</f>
        <v>Directional</v>
      </c>
      <c r="Q95" s="9" t="str" cm="1">
        <f t="array" ref="Q95">_xlfn.IFS([1]!BTC_data[[#This Row],[HourUTC]]&lt;8,"Asia",[1]!BTC_data[[#This Row],[HourUTC]]&lt;13,"London",[1]!BTC_data[[#This Row],[HourUTC]]&lt;21,"New York",TRUE,"AfterHours")</f>
        <v>Asia</v>
      </c>
    </row>
    <row r="96" spans="1:17" x14ac:dyDescent="0.3">
      <c r="A96" s="5">
        <v>93544.2</v>
      </c>
      <c r="B96" s="5">
        <v>93605.1</v>
      </c>
      <c r="C96" s="5">
        <v>9699</v>
      </c>
      <c r="D96" s="5">
        <v>10.364986630000001</v>
      </c>
      <c r="E96" s="5">
        <v>156</v>
      </c>
      <c r="F96" s="5">
        <v>9190</v>
      </c>
      <c r="G96" s="5">
        <v>9.8212082400000007</v>
      </c>
      <c r="H96" s="5">
        <f>[1]!BTC_data[[#This Row],[high]]-[1]!BTC_data[[#This Row],[low]]</f>
        <v>61</v>
      </c>
      <c r="I96" s="6">
        <f>[1]!BTC_data[[#This Row],[CandleRange]]/[1]!BTC_data[[#This Row],[open]]</f>
        <v>6.5209815253110292E-4</v>
      </c>
      <c r="J96" s="7">
        <f>ABS([1]!BTC_data[[#This Row],[open]]-[1]!BTC_data[[#This Row],[close]])</f>
        <v>60.900000000008731</v>
      </c>
      <c r="K96" s="6">
        <f>[1]!BTC_data[[#This Row],[CandleBody]]/[1]!BTC_data[[#This Row],[open]]</f>
        <v>6.5102913916639121E-4</v>
      </c>
      <c r="L96" s="8">
        <f>IF([1]!BTC_data[[#This Row],[CandleRange]]&gt;0,([1]!BTC_data[[#This Row],[close]]-[1]!BTC_data[[#This Row],[low]])/[1]!BTC_data[[#This Row],[CandleRange]],"")</f>
        <v>0.99836065573784805</v>
      </c>
      <c r="M96" s="8">
        <f>IF([1]!BTC_data[[#This Row],[quote_volume]]&gt;0,[1]!BTC_data[[#This Row],[taker_buy_quote_volume]]/[1]!BTC_data[[#This Row],[quote_volume]],"")</f>
        <v>0.94753699069653308</v>
      </c>
      <c r="N96" t="str" cm="1">
        <f t="array" ref="N96">_xlfn.IFS([1]!BTC_data[[#This Row],[open]]-[1]!BTC_data[[#This Row],[close]]&gt;0,"Bearish",[1]!BTC_data[[#This Row],[open]]-[1]!BTC_data[[#This Row],[close]]&lt;0,"Bullish",TRUE,"Neutral")</f>
        <v>Bullish</v>
      </c>
      <c r="O96" s="8">
        <f>IF([1]!BTC_data[[#This Row],[CandleRange]]&gt;0,[1]!BTC_data[[#This Row],[CandleBody]]/[1]!BTC_data[[#This Row],[CandleRange]],"")</f>
        <v>0.99836065573784805</v>
      </c>
      <c r="P96" s="9" t="str" cm="1">
        <f t="array" ref="P96">_xlfn.IFS([1]!BTC_data[[#This Row],[BodyToRangeRatio]]&gt;=0.7,"Directional",[1]!BTC_data[[#This Row],[BodyToRangeRatio]]&lt;=0.3,"Indecision",TRUE,"Mixed")</f>
        <v>Directional</v>
      </c>
      <c r="Q96" s="9" t="str" cm="1">
        <f t="array" ref="Q96">_xlfn.IFS([1]!BTC_data[[#This Row],[HourUTC]]&lt;8,"Asia",[1]!BTC_data[[#This Row],[HourUTC]]&lt;13,"London",[1]!BTC_data[[#This Row],[HourUTC]]&lt;21,"New York",TRUE,"AfterHours")</f>
        <v>Asia</v>
      </c>
    </row>
    <row r="97" spans="1:17" x14ac:dyDescent="0.3">
      <c r="A97" s="10">
        <v>93511.3</v>
      </c>
      <c r="B97" s="10">
        <v>93517.7</v>
      </c>
      <c r="C97" s="10">
        <v>30344</v>
      </c>
      <c r="D97" s="10">
        <v>32.438895479999999</v>
      </c>
      <c r="E97" s="10">
        <v>361</v>
      </c>
      <c r="F97" s="10">
        <v>10409</v>
      </c>
      <c r="G97" s="10">
        <v>11.130803909999999</v>
      </c>
      <c r="H97" s="10">
        <f>[1]!BTC_data[[#This Row],[high]]-[1]!BTC_data[[#This Row],[low]]</f>
        <v>93.899999999994179</v>
      </c>
      <c r="I97" s="11">
        <f>[1]!BTC_data[[#This Row],[CandleRange]]/[1]!BTC_data[[#This Row],[open]]</f>
        <v>1.003150469365389E-3</v>
      </c>
      <c r="J97" s="12">
        <f>ABS([1]!BTC_data[[#This Row],[open]]-[1]!BTC_data[[#This Row],[close]])</f>
        <v>87.400000000008731</v>
      </c>
      <c r="K97" s="11">
        <f>[1]!BTC_data[[#This Row],[CandleBody]]/[1]!BTC_data[[#This Row],[open]]</f>
        <v>9.3370980854684971E-4</v>
      </c>
      <c r="L97" s="13">
        <f>IF([1]!BTC_data[[#This Row],[CandleRange]]&gt;0,([1]!BTC_data[[#This Row],[close]]-[1]!BTC_data[[#This Row],[low]])/[1]!BTC_data[[#This Row],[CandleRange]],"")</f>
        <v>6.8157614483435311E-2</v>
      </c>
      <c r="M97" s="13">
        <f>IF([1]!BTC_data[[#This Row],[quote_volume]]&gt;0,[1]!BTC_data[[#This Row],[taker_buy_quote_volume]]/[1]!BTC_data[[#This Row],[quote_volume]],"")</f>
        <v>0.34313140892428434</v>
      </c>
      <c r="N97" t="str" cm="1">
        <f t="array" ref="N97">_xlfn.IFS([1]!BTC_data[[#This Row],[open]]-[1]!BTC_data[[#This Row],[close]]&gt;0,"Bearish",[1]!BTC_data[[#This Row],[open]]-[1]!BTC_data[[#This Row],[close]]&lt;0,"Bullish",TRUE,"Neutral")</f>
        <v>Bearish</v>
      </c>
      <c r="O97" s="13">
        <f>IF([1]!BTC_data[[#This Row],[CandleRange]]&gt;0,[1]!BTC_data[[#This Row],[CandleBody]]/[1]!BTC_data[[#This Row],[CandleRange]],"")</f>
        <v>0.93077742279035303</v>
      </c>
      <c r="P97" s="9" t="str" cm="1">
        <f t="array" ref="P97">_xlfn.IFS([1]!BTC_data[[#This Row],[BodyToRangeRatio]]&gt;=0.7,"Directional",[1]!BTC_data[[#This Row],[BodyToRangeRatio]]&lt;=0.3,"Indecision",TRUE,"Mixed")</f>
        <v>Directional</v>
      </c>
      <c r="Q97" s="9" t="str" cm="1">
        <f t="array" ref="Q97">_xlfn.IFS([1]!BTC_data[[#This Row],[HourUTC]]&lt;8,"Asia",[1]!BTC_data[[#This Row],[HourUTC]]&lt;13,"London",[1]!BTC_data[[#This Row],[HourUTC]]&lt;21,"New York",TRUE,"AfterHours")</f>
        <v>Asia</v>
      </c>
    </row>
    <row r="98" spans="1:17" x14ac:dyDescent="0.3">
      <c r="A98" s="5">
        <v>93517.7</v>
      </c>
      <c r="B98" s="5">
        <v>93544</v>
      </c>
      <c r="C98" s="5">
        <v>16145</v>
      </c>
      <c r="D98" s="5">
        <v>17.260194330000001</v>
      </c>
      <c r="E98" s="5">
        <v>205</v>
      </c>
      <c r="F98" s="5">
        <v>14702</v>
      </c>
      <c r="G98" s="5">
        <v>15.71766929</v>
      </c>
      <c r="H98" s="5">
        <f>[1]!BTC_data[[#This Row],[high]]-[1]!BTC_data[[#This Row],[low]]</f>
        <v>41.600000000005821</v>
      </c>
      <c r="I98" s="6">
        <f>[1]!BTC_data[[#This Row],[CandleRange]]/[1]!BTC_data[[#This Row],[open]]</f>
        <v>4.4483557658075231E-4</v>
      </c>
      <c r="J98" s="7">
        <f>ABS([1]!BTC_data[[#This Row],[open]]-[1]!BTC_data[[#This Row],[close]])</f>
        <v>26.30000000000291</v>
      </c>
      <c r="K98" s="6">
        <f>[1]!BTC_data[[#This Row],[CandleBody]]/[1]!BTC_data[[#This Row],[open]]</f>
        <v>2.8123018423253471E-4</v>
      </c>
      <c r="L98" s="8">
        <f>IF([1]!BTC_data[[#This Row],[CandleRange]]&gt;0,([1]!BTC_data[[#This Row],[close]]-[1]!BTC_data[[#This Row],[low]])/[1]!BTC_data[[#This Row],[CandleRange]],"")</f>
        <v>0.63221153846152001</v>
      </c>
      <c r="M98" s="8">
        <f>IF([1]!BTC_data[[#This Row],[quote_volume]]&gt;0,[1]!BTC_data[[#This Row],[taker_buy_quote_volume]]/[1]!BTC_data[[#This Row],[quote_volume]],"")</f>
        <v>0.91063107341039995</v>
      </c>
      <c r="N98" t="str" cm="1">
        <f t="array" ref="N98">_xlfn.IFS([1]!BTC_data[[#This Row],[open]]-[1]!BTC_data[[#This Row],[close]]&gt;0,"Bearish",[1]!BTC_data[[#This Row],[open]]-[1]!BTC_data[[#This Row],[close]]&lt;0,"Bullish",TRUE,"Neutral")</f>
        <v>Bullish</v>
      </c>
      <c r="O98" s="8">
        <f>IF([1]!BTC_data[[#This Row],[CandleRange]]&gt;0,[1]!BTC_data[[#This Row],[CandleBody]]/[1]!BTC_data[[#This Row],[CandleRange]],"")</f>
        <v>0.63221153846152001</v>
      </c>
      <c r="P98" s="9" t="str" cm="1">
        <f t="array" ref="P98">_xlfn.IFS([1]!BTC_data[[#This Row],[BodyToRangeRatio]]&gt;=0.7,"Directional",[1]!BTC_data[[#This Row],[BodyToRangeRatio]]&lt;=0.3,"Indecision",TRUE,"Mixed")</f>
        <v>Mixed</v>
      </c>
      <c r="Q98" s="9" t="str" cm="1">
        <f t="array" ref="Q98">_xlfn.IFS([1]!BTC_data[[#This Row],[HourUTC]]&lt;8,"Asia",[1]!BTC_data[[#This Row],[HourUTC]]&lt;13,"London",[1]!BTC_data[[#This Row],[HourUTC]]&lt;21,"New York",TRUE,"AfterHours")</f>
        <v>London</v>
      </c>
    </row>
    <row r="99" spans="1:17" x14ac:dyDescent="0.3">
      <c r="A99" s="10">
        <v>93499.199999999997</v>
      </c>
      <c r="B99" s="10">
        <v>93562</v>
      </c>
      <c r="C99" s="10">
        <v>42631</v>
      </c>
      <c r="D99" s="10">
        <v>45.577992770000002</v>
      </c>
      <c r="E99" s="10">
        <v>407</v>
      </c>
      <c r="F99" s="10">
        <v>29751</v>
      </c>
      <c r="G99" s="10">
        <v>31.808324280000001</v>
      </c>
      <c r="H99" s="10">
        <f>[1]!BTC_data[[#This Row],[high]]-[1]!BTC_data[[#This Row],[low]]</f>
        <v>89.19999999999709</v>
      </c>
      <c r="I99" s="11">
        <f>[1]!BTC_data[[#This Row],[CandleRange]]/[1]!BTC_data[[#This Row],[open]]</f>
        <v>9.5356196014706549E-4</v>
      </c>
      <c r="J99" s="12">
        <f>ABS([1]!BTC_data[[#This Row],[open]]-[1]!BTC_data[[#This Row],[close]])</f>
        <v>18</v>
      </c>
      <c r="K99" s="11">
        <f>[1]!BTC_data[[#This Row],[CandleBody]]/[1]!BTC_data[[#This Row],[open]]</f>
        <v>1.924228170700419E-4</v>
      </c>
      <c r="L99" s="13">
        <f>IF([1]!BTC_data[[#This Row],[CandleRange]]&gt;0,([1]!BTC_data[[#This Row],[close]]-[1]!BTC_data[[#This Row],[low]])/[1]!BTC_data[[#This Row],[CandleRange]],"")</f>
        <v>0.70403587443951743</v>
      </c>
      <c r="M99" s="13">
        <f>IF([1]!BTC_data[[#This Row],[quote_volume]]&gt;0,[1]!BTC_data[[#This Row],[taker_buy_quote_volume]]/[1]!BTC_data[[#This Row],[quote_volume]],"")</f>
        <v>0.69788778195025369</v>
      </c>
      <c r="N99" t="str" cm="1">
        <f t="array" ref="N99">_xlfn.IFS([1]!BTC_data[[#This Row],[open]]-[1]!BTC_data[[#This Row],[close]]&gt;0,"Bearish",[1]!BTC_data[[#This Row],[open]]-[1]!BTC_data[[#This Row],[close]]&lt;0,"Bullish",TRUE,"Neutral")</f>
        <v>Bullish</v>
      </c>
      <c r="O99" s="13">
        <f>IF([1]!BTC_data[[#This Row],[CandleRange]]&gt;0,[1]!BTC_data[[#This Row],[CandleBody]]/[1]!BTC_data[[#This Row],[CandleRange]],"")</f>
        <v>0.20179372197310075</v>
      </c>
      <c r="P99" s="9" t="str" cm="1">
        <f t="array" ref="P99">_xlfn.IFS([1]!BTC_data[[#This Row],[BodyToRangeRatio]]&gt;=0.7,"Directional",[1]!BTC_data[[#This Row],[BodyToRangeRatio]]&lt;=0.3,"Indecision",TRUE,"Mixed")</f>
        <v>Indecision</v>
      </c>
      <c r="Q99" s="9" t="str" cm="1">
        <f t="array" ref="Q99">_xlfn.IFS([1]!BTC_data[[#This Row],[HourUTC]]&lt;8,"Asia",[1]!BTC_data[[#This Row],[HourUTC]]&lt;13,"London",[1]!BTC_data[[#This Row],[HourUTC]]&lt;21,"New York",TRUE,"AfterHours")</f>
        <v>London</v>
      </c>
    </row>
    <row r="100" spans="1:17" x14ac:dyDescent="0.3">
      <c r="A100" s="5">
        <v>93553.5</v>
      </c>
      <c r="B100" s="5">
        <v>93577.3</v>
      </c>
      <c r="C100" s="5">
        <v>7532</v>
      </c>
      <c r="D100" s="5">
        <v>8.0500980099999992</v>
      </c>
      <c r="E100" s="5">
        <v>183</v>
      </c>
      <c r="F100" s="5">
        <v>3699</v>
      </c>
      <c r="G100" s="5">
        <v>3.95349942</v>
      </c>
      <c r="H100" s="5">
        <f>[1]!BTC_data[[#This Row],[high]]-[1]!BTC_data[[#This Row],[low]]</f>
        <v>24</v>
      </c>
      <c r="I100" s="6">
        <f>[1]!BTC_data[[#This Row],[CandleRange]]/[1]!BTC_data[[#This Row],[open]]</f>
        <v>2.565149452019948E-4</v>
      </c>
      <c r="J100" s="7">
        <f>ABS([1]!BTC_data[[#This Row],[open]]-[1]!BTC_data[[#This Row],[close]])</f>
        <v>15.5</v>
      </c>
      <c r="K100" s="6">
        <f>[1]!BTC_data[[#This Row],[CandleBody]]/[1]!BTC_data[[#This Row],[open]]</f>
        <v>1.6566590210962166E-4</v>
      </c>
      <c r="L100" s="8">
        <f>IF([1]!BTC_data[[#This Row],[CandleRange]]&gt;0,([1]!BTC_data[[#This Row],[close]]-[1]!BTC_data[[#This Row],[low]])/[1]!BTC_data[[#This Row],[CandleRange]],"")</f>
        <v>0.99166666666678793</v>
      </c>
      <c r="M100" s="8">
        <f>IF([1]!BTC_data[[#This Row],[quote_volume]]&gt;0,[1]!BTC_data[[#This Row],[taker_buy_quote_volume]]/[1]!BTC_data[[#This Row],[quote_volume]],"")</f>
        <v>0.49111196100828597</v>
      </c>
      <c r="N100" t="str" cm="1">
        <f t="array" ref="N100">_xlfn.IFS([1]!BTC_data[[#This Row],[open]]-[1]!BTC_data[[#This Row],[close]]&gt;0,"Bearish",[1]!BTC_data[[#This Row],[open]]-[1]!BTC_data[[#This Row],[close]]&lt;0,"Bullish",TRUE,"Neutral")</f>
        <v>Bullish</v>
      </c>
      <c r="O100" s="8">
        <f>IF([1]!BTC_data[[#This Row],[CandleRange]]&gt;0,[1]!BTC_data[[#This Row],[CandleBody]]/[1]!BTC_data[[#This Row],[CandleRange]],"")</f>
        <v>0.64583333333333337</v>
      </c>
      <c r="P100" s="9" t="str" cm="1">
        <f t="array" ref="P100">_xlfn.IFS([1]!BTC_data[[#This Row],[BodyToRangeRatio]]&gt;=0.7,"Directional",[1]!BTC_data[[#This Row],[BodyToRangeRatio]]&lt;=0.3,"Indecision",TRUE,"Mixed")</f>
        <v>Mixed</v>
      </c>
      <c r="Q100" s="9" t="str" cm="1">
        <f t="array" ref="Q100">_xlfn.IFS([1]!BTC_data[[#This Row],[HourUTC]]&lt;8,"Asia",[1]!BTC_data[[#This Row],[HourUTC]]&lt;13,"London",[1]!BTC_data[[#This Row],[HourUTC]]&lt;21,"New York",TRUE,"AfterHours")</f>
        <v>London</v>
      </c>
    </row>
    <row r="101" spans="1:17" x14ac:dyDescent="0.3">
      <c r="A101" s="10">
        <v>93514.9</v>
      </c>
      <c r="B101" s="10">
        <v>93514.9</v>
      </c>
      <c r="C101" s="10">
        <v>35408</v>
      </c>
      <c r="D101" s="10">
        <v>37.856350599999999</v>
      </c>
      <c r="E101" s="10">
        <v>338</v>
      </c>
      <c r="F101" s="10">
        <v>26149</v>
      </c>
      <c r="G101" s="10">
        <v>27.95772762</v>
      </c>
      <c r="H101" s="10">
        <f>[1]!BTC_data[[#This Row],[high]]-[1]!BTC_data[[#This Row],[low]]</f>
        <v>62.5</v>
      </c>
      <c r="I101" s="11">
        <f>[1]!BTC_data[[#This Row],[CandleRange]]/[1]!BTC_data[[#This Row],[open]]</f>
        <v>6.6789702203418988E-4</v>
      </c>
      <c r="J101" s="12">
        <f>ABS([1]!BTC_data[[#This Row],[open]]-[1]!BTC_data[[#This Row],[close]])</f>
        <v>62.400000000008731</v>
      </c>
      <c r="K101" s="11">
        <f>[1]!BTC_data[[#This Row],[CandleBody]]/[1]!BTC_data[[#This Row],[open]]</f>
        <v>6.6682838679902852E-4</v>
      </c>
      <c r="L101" s="13">
        <f>IF([1]!BTC_data[[#This Row],[CandleRange]]&gt;0,([1]!BTC_data[[#This Row],[close]]-[1]!BTC_data[[#This Row],[low]])/[1]!BTC_data[[#This Row],[CandleRange]],"")</f>
        <v>0</v>
      </c>
      <c r="M101" s="13">
        <f>IF([1]!BTC_data[[#This Row],[quote_volume]]&gt;0,[1]!BTC_data[[#This Row],[taker_buy_quote_volume]]/[1]!BTC_data[[#This Row],[quote_volume]],"")</f>
        <v>0.7385214680466321</v>
      </c>
      <c r="N101" t="str" cm="1">
        <f t="array" ref="N101">_xlfn.IFS([1]!BTC_data[[#This Row],[open]]-[1]!BTC_data[[#This Row],[close]]&gt;0,"Bearish",[1]!BTC_data[[#This Row],[open]]-[1]!BTC_data[[#This Row],[close]]&lt;0,"Bullish",TRUE,"Neutral")</f>
        <v>Bearish</v>
      </c>
      <c r="O101" s="13">
        <f>IF([1]!BTC_data[[#This Row],[CandleRange]]&gt;0,[1]!BTC_data[[#This Row],[CandleBody]]/[1]!BTC_data[[#This Row],[CandleRange]],"")</f>
        <v>0.99840000000013973</v>
      </c>
      <c r="P101" s="9" t="str" cm="1">
        <f t="array" ref="P101">_xlfn.IFS([1]!BTC_data[[#This Row],[BodyToRangeRatio]]&gt;=0.7,"Directional",[1]!BTC_data[[#This Row],[BodyToRangeRatio]]&lt;=0.3,"Indecision",TRUE,"Mixed")</f>
        <v>Directional</v>
      </c>
      <c r="Q101" s="9" t="str" cm="1">
        <f t="array" ref="Q101">_xlfn.IFS([1]!BTC_data[[#This Row],[HourUTC]]&lt;8,"Asia",[1]!BTC_data[[#This Row],[HourUTC]]&lt;13,"London",[1]!BTC_data[[#This Row],[HourUTC]]&lt;21,"New York",TRUE,"AfterHours")</f>
        <v>London</v>
      </c>
    </row>
    <row r="102" spans="1:17" x14ac:dyDescent="0.3">
      <c r="A102" s="5">
        <v>93514.1</v>
      </c>
      <c r="B102" s="5">
        <v>93514.8</v>
      </c>
      <c r="C102" s="5">
        <v>22457</v>
      </c>
      <c r="D102" s="5">
        <v>24.011095770000001</v>
      </c>
      <c r="E102" s="5">
        <v>175</v>
      </c>
      <c r="F102" s="5">
        <v>19052</v>
      </c>
      <c r="G102" s="5">
        <v>20.37017152</v>
      </c>
      <c r="H102" s="5">
        <f>[1]!BTC_data[[#This Row],[high]]-[1]!BTC_data[[#This Row],[low]]</f>
        <v>26.899999999994179</v>
      </c>
      <c r="I102" s="6">
        <f>[1]!BTC_data[[#This Row],[CandleRange]]/[1]!BTC_data[[#This Row],[open]]</f>
        <v>2.8765715544494552E-4</v>
      </c>
      <c r="J102" s="7">
        <f>ABS([1]!BTC_data[[#This Row],[open]]-[1]!BTC_data[[#This Row],[close]])</f>
        <v>0.69999999999708962</v>
      </c>
      <c r="K102" s="6">
        <f>[1]!BTC_data[[#This Row],[CandleBody]]/[1]!BTC_data[[#This Row],[open]]</f>
        <v>7.485502186270194E-6</v>
      </c>
      <c r="L102" s="8">
        <f>IF([1]!BTC_data[[#This Row],[CandleRange]]&gt;0,([1]!BTC_data[[#This Row],[close]]-[1]!BTC_data[[#This Row],[low]])/[1]!BTC_data[[#This Row],[CandleRange]],"")</f>
        <v>2.6022304832611191E-2</v>
      </c>
      <c r="M102" s="8">
        <f>IF([1]!BTC_data[[#This Row],[quote_volume]]&gt;0,[1]!BTC_data[[#This Row],[taker_buy_quote_volume]]/[1]!BTC_data[[#This Row],[quote_volume]],"")</f>
        <v>0.84836492741205705</v>
      </c>
      <c r="N102" t="str" cm="1">
        <f t="array" ref="N102">_xlfn.IFS([1]!BTC_data[[#This Row],[open]]-[1]!BTC_data[[#This Row],[close]]&gt;0,"Bearish",[1]!BTC_data[[#This Row],[open]]-[1]!BTC_data[[#This Row],[close]]&lt;0,"Bullish",TRUE,"Neutral")</f>
        <v>Bullish</v>
      </c>
      <c r="O102" s="8">
        <f>IF([1]!BTC_data[[#This Row],[CandleRange]]&gt;0,[1]!BTC_data[[#This Row],[CandleBody]]/[1]!BTC_data[[#This Row],[CandleRange]],"")</f>
        <v>2.6022304832611191E-2</v>
      </c>
      <c r="P102" s="9" t="str" cm="1">
        <f t="array" ref="P102">_xlfn.IFS([1]!BTC_data[[#This Row],[BodyToRangeRatio]]&gt;=0.7,"Directional",[1]!BTC_data[[#This Row],[BodyToRangeRatio]]&lt;=0.3,"Indecision",TRUE,"Mixed")</f>
        <v>Indecision</v>
      </c>
      <c r="Q102" s="9" t="str" cm="1">
        <f t="array" ref="Q102">_xlfn.IFS([1]!BTC_data[[#This Row],[HourUTC]]&lt;8,"Asia",[1]!BTC_data[[#This Row],[HourUTC]]&lt;13,"London",[1]!BTC_data[[#This Row],[HourUTC]]&lt;21,"New York",TRUE,"AfterHours")</f>
        <v>London</v>
      </c>
    </row>
    <row r="103" spans="1:17" x14ac:dyDescent="0.3">
      <c r="A103" s="10">
        <v>93153.7</v>
      </c>
      <c r="B103" s="10">
        <v>93269.7</v>
      </c>
      <c r="C103" s="10">
        <v>129325</v>
      </c>
      <c r="D103" s="10">
        <v>138.60178328999999</v>
      </c>
      <c r="E103" s="10">
        <v>1681</v>
      </c>
      <c r="F103" s="10">
        <v>32809</v>
      </c>
      <c r="G103" s="10">
        <v>35.1668156</v>
      </c>
      <c r="H103" s="10">
        <f>[1]!BTC_data[[#This Row],[high]]-[1]!BTC_data[[#This Row],[low]]</f>
        <v>361.19999999999709</v>
      </c>
      <c r="I103" s="11">
        <f>[1]!BTC_data[[#This Row],[CandleRange]]/[1]!BTC_data[[#This Row],[open]]</f>
        <v>3.8624860851051235E-3</v>
      </c>
      <c r="J103" s="12">
        <f>ABS([1]!BTC_data[[#This Row],[open]]-[1]!BTC_data[[#This Row],[close]])</f>
        <v>245.19999999999709</v>
      </c>
      <c r="K103" s="11">
        <f>[1]!BTC_data[[#This Row],[CandleBody]]/[1]!BTC_data[[#This Row],[open]]</f>
        <v>2.6220420489140991E-3</v>
      </c>
      <c r="L103" s="13">
        <f>IF([1]!BTC_data[[#This Row],[CandleRange]]&gt;0,([1]!BTC_data[[#This Row],[close]]-[1]!BTC_data[[#This Row],[low]])/[1]!BTC_data[[#This Row],[CandleRange]],"")</f>
        <v>0.32115171650055629</v>
      </c>
      <c r="M103" s="13">
        <f>IF([1]!BTC_data[[#This Row],[quote_volume]]&gt;0,[1]!BTC_data[[#This Row],[taker_buy_quote_volume]]/[1]!BTC_data[[#This Row],[quote_volume]],"")</f>
        <v>0.25372556373549388</v>
      </c>
      <c r="N103" t="str" cm="1">
        <f t="array" ref="N103">_xlfn.IFS([1]!BTC_data[[#This Row],[open]]-[1]!BTC_data[[#This Row],[close]]&gt;0,"Bearish",[1]!BTC_data[[#This Row],[open]]-[1]!BTC_data[[#This Row],[close]]&lt;0,"Bullish",TRUE,"Neutral")</f>
        <v>Bearish</v>
      </c>
      <c r="O103" s="13">
        <f>IF([1]!BTC_data[[#This Row],[CandleRange]]&gt;0,[1]!BTC_data[[#This Row],[CandleBody]]/[1]!BTC_data[[#This Row],[CandleRange]],"")</f>
        <v>0.67884828349944371</v>
      </c>
      <c r="P103" s="9" t="str" cm="1">
        <f t="array" ref="P103">_xlfn.IFS([1]!BTC_data[[#This Row],[BodyToRangeRatio]]&gt;=0.7,"Directional",[1]!BTC_data[[#This Row],[BodyToRangeRatio]]&lt;=0.3,"Indecision",TRUE,"Mixed")</f>
        <v>Mixed</v>
      </c>
      <c r="Q103" s="9" t="str" cm="1">
        <f t="array" ref="Q103">_xlfn.IFS([1]!BTC_data[[#This Row],[HourUTC]]&lt;8,"Asia",[1]!BTC_data[[#This Row],[HourUTC]]&lt;13,"London",[1]!BTC_data[[#This Row],[HourUTC]]&lt;21,"New York",TRUE,"AfterHours")</f>
        <v>London</v>
      </c>
    </row>
    <row r="104" spans="1:17" x14ac:dyDescent="0.3">
      <c r="A104" s="5">
        <v>93250</v>
      </c>
      <c r="B104" s="5">
        <v>93313.2</v>
      </c>
      <c r="C104" s="5">
        <v>41345</v>
      </c>
      <c r="D104" s="5">
        <v>44.308023069999997</v>
      </c>
      <c r="E104" s="5">
        <v>809</v>
      </c>
      <c r="F104" s="5">
        <v>27968</v>
      </c>
      <c r="G104" s="5">
        <v>29.969688430000001</v>
      </c>
      <c r="H104" s="5">
        <f>[1]!BTC_data[[#This Row],[high]]-[1]!BTC_data[[#This Row],[low]]</f>
        <v>117.39999999999418</v>
      </c>
      <c r="I104" s="6">
        <f>[1]!BTC_data[[#This Row],[CandleRange]]/[1]!BTC_data[[#This Row],[open]]</f>
        <v>1.2587139674363425E-3</v>
      </c>
      <c r="J104" s="7">
        <f>ABS([1]!BTC_data[[#This Row],[open]]-[1]!BTC_data[[#This Row],[close]])</f>
        <v>43.399999999994179</v>
      </c>
      <c r="K104" s="6">
        <f>[1]!BTC_data[[#This Row],[CandleBody]]/[1]!BTC_data[[#This Row],[open]]</f>
        <v>4.653167477575183E-4</v>
      </c>
      <c r="L104" s="8">
        <f>IF([1]!BTC_data[[#This Row],[CandleRange]]&gt;0,([1]!BTC_data[[#This Row],[close]]-[1]!BTC_data[[#This Row],[low]])/[1]!BTC_data[[#This Row],[CandleRange]],"")</f>
        <v>0.53833049403748057</v>
      </c>
      <c r="M104" s="8">
        <f>IF([1]!BTC_data[[#This Row],[quote_volume]]&gt;0,[1]!BTC_data[[#This Row],[taker_buy_quote_volume]]/[1]!BTC_data[[#This Row],[quote_volume]],"")</f>
        <v>0.67639416867352464</v>
      </c>
      <c r="N104" t="str" cm="1">
        <f t="array" ref="N104">_xlfn.IFS([1]!BTC_data[[#This Row],[open]]-[1]!BTC_data[[#This Row],[close]]&gt;0,"Bearish",[1]!BTC_data[[#This Row],[open]]-[1]!BTC_data[[#This Row],[close]]&lt;0,"Bullish",TRUE,"Neutral")</f>
        <v>Bullish</v>
      </c>
      <c r="O104" s="8">
        <f>IF([1]!BTC_data[[#This Row],[CandleRange]]&gt;0,[1]!BTC_data[[#This Row],[CandleBody]]/[1]!BTC_data[[#This Row],[CandleRange]],"")</f>
        <v>0.36967632027254116</v>
      </c>
      <c r="P104" s="9" t="str" cm="1">
        <f t="array" ref="P104">_xlfn.IFS([1]!BTC_data[[#This Row],[BodyToRangeRatio]]&gt;=0.7,"Directional",[1]!BTC_data[[#This Row],[BodyToRangeRatio]]&lt;=0.3,"Indecision",TRUE,"Mixed")</f>
        <v>Mixed</v>
      </c>
      <c r="Q104" s="9" t="str" cm="1">
        <f t="array" ref="Q104">_xlfn.IFS([1]!BTC_data[[#This Row],[HourUTC]]&lt;8,"Asia",[1]!BTC_data[[#This Row],[HourUTC]]&lt;13,"London",[1]!BTC_data[[#This Row],[HourUTC]]&lt;21,"New York",TRUE,"AfterHours")</f>
        <v>London</v>
      </c>
    </row>
    <row r="105" spans="1:17" x14ac:dyDescent="0.3">
      <c r="A105" s="10">
        <v>93288.7</v>
      </c>
      <c r="B105" s="10">
        <v>93322.9</v>
      </c>
      <c r="C105" s="10">
        <v>17623</v>
      </c>
      <c r="D105" s="10">
        <v>18.882651800000001</v>
      </c>
      <c r="E105" s="10">
        <v>400</v>
      </c>
      <c r="F105" s="10">
        <v>7732</v>
      </c>
      <c r="G105" s="10">
        <v>8.2842407100000006</v>
      </c>
      <c r="H105" s="10">
        <f>[1]!BTC_data[[#This Row],[high]]-[1]!BTC_data[[#This Row],[low]]</f>
        <v>81.600000000005821</v>
      </c>
      <c r="I105" s="11">
        <f>[1]!BTC_data[[#This Row],[CandleRange]]/[1]!BTC_data[[#This Row],[open]]</f>
        <v>8.7447435089575557E-4</v>
      </c>
      <c r="J105" s="12">
        <f>ABS([1]!BTC_data[[#This Row],[open]]-[1]!BTC_data[[#This Row],[close]])</f>
        <v>9.6999999999970896</v>
      </c>
      <c r="K105" s="11">
        <f>[1]!BTC_data[[#This Row],[CandleBody]]/[1]!BTC_data[[#This Row],[open]]</f>
        <v>1.0395099514320686E-4</v>
      </c>
      <c r="L105" s="13">
        <f>IF([1]!BTC_data[[#This Row],[CandleRange]]&gt;0,([1]!BTC_data[[#This Row],[close]]-[1]!BTC_data[[#This Row],[low]])/[1]!BTC_data[[#This Row],[CandleRange]],"")</f>
        <v>0.41911764705875798</v>
      </c>
      <c r="M105" s="13">
        <f>IF([1]!BTC_data[[#This Row],[quote_volume]]&gt;0,[1]!BTC_data[[#This Row],[taker_buy_quote_volume]]/[1]!BTC_data[[#This Row],[quote_volume]],"")</f>
        <v>0.4387223149451922</v>
      </c>
      <c r="N105" t="str" cm="1">
        <f t="array" ref="N105">_xlfn.IFS([1]!BTC_data[[#This Row],[open]]-[1]!BTC_data[[#This Row],[close]]&gt;0,"Bearish",[1]!BTC_data[[#This Row],[open]]-[1]!BTC_data[[#This Row],[close]]&lt;0,"Bullish",TRUE,"Neutral")</f>
        <v>Bullish</v>
      </c>
      <c r="O105" s="13">
        <f>IF([1]!BTC_data[[#This Row],[CandleRange]]&gt;0,[1]!BTC_data[[#This Row],[CandleBody]]/[1]!BTC_data[[#This Row],[CandleRange]],"")</f>
        <v>0.11887254901956369</v>
      </c>
      <c r="P105" s="9" t="str" cm="1">
        <f t="array" ref="P105">_xlfn.IFS([1]!BTC_data[[#This Row],[BodyToRangeRatio]]&gt;=0.7,"Directional",[1]!BTC_data[[#This Row],[BodyToRangeRatio]]&lt;=0.3,"Indecision",TRUE,"Mixed")</f>
        <v>Indecision</v>
      </c>
      <c r="Q105" s="9" t="str" cm="1">
        <f t="array" ref="Q105">_xlfn.IFS([1]!BTC_data[[#This Row],[HourUTC]]&lt;8,"Asia",[1]!BTC_data[[#This Row],[HourUTC]]&lt;13,"London",[1]!BTC_data[[#This Row],[HourUTC]]&lt;21,"New York",TRUE,"AfterHours")</f>
        <v>London</v>
      </c>
    </row>
    <row r="106" spans="1:17" x14ac:dyDescent="0.3">
      <c r="A106" s="5">
        <v>93322.9</v>
      </c>
      <c r="B106" s="5">
        <v>93334</v>
      </c>
      <c r="C106" s="5">
        <v>2905</v>
      </c>
      <c r="D106" s="5">
        <v>3.1118161</v>
      </c>
      <c r="E106" s="5">
        <v>220</v>
      </c>
      <c r="F106" s="5">
        <v>2007</v>
      </c>
      <c r="G106" s="5">
        <v>2.1499151200000002</v>
      </c>
      <c r="H106" s="5">
        <f>[1]!BTC_data[[#This Row],[high]]-[1]!BTC_data[[#This Row],[low]]</f>
        <v>51.400000000008731</v>
      </c>
      <c r="I106" s="6">
        <f>[1]!BTC_data[[#This Row],[CandleRange]]/[1]!BTC_data[[#This Row],[open]]</f>
        <v>5.5077585458669556E-4</v>
      </c>
      <c r="J106" s="7">
        <f>ABS([1]!BTC_data[[#This Row],[open]]-[1]!BTC_data[[#This Row],[close]])</f>
        <v>11.100000000005821</v>
      </c>
      <c r="K106" s="6">
        <f>[1]!BTC_data[[#This Row],[CandleBody]]/[1]!BTC_data[[#This Row],[open]]</f>
        <v>1.1894186743024296E-4</v>
      </c>
      <c r="L106" s="8">
        <f>IF([1]!BTC_data[[#This Row],[CandleRange]]&gt;0,([1]!BTC_data[[#This Row],[close]]-[1]!BTC_data[[#This Row],[low]])/[1]!BTC_data[[#This Row],[CandleRange]],"")</f>
        <v>0.21595330739307267</v>
      </c>
      <c r="M106" s="8">
        <f>IF([1]!BTC_data[[#This Row],[quote_volume]]&gt;0,[1]!BTC_data[[#This Row],[taker_buy_quote_volume]]/[1]!BTC_data[[#This Row],[quote_volume]],"")</f>
        <v>0.69088758811936224</v>
      </c>
      <c r="N106" t="str" cm="1">
        <f t="array" ref="N106">_xlfn.IFS([1]!BTC_data[[#This Row],[open]]-[1]!BTC_data[[#This Row],[close]]&gt;0,"Bearish",[1]!BTC_data[[#This Row],[open]]-[1]!BTC_data[[#This Row],[close]]&lt;0,"Bullish",TRUE,"Neutral")</f>
        <v>Bullish</v>
      </c>
      <c r="O106" s="8">
        <f>IF([1]!BTC_data[[#This Row],[CandleRange]]&gt;0,[1]!BTC_data[[#This Row],[CandleBody]]/[1]!BTC_data[[#This Row],[CandleRange]],"")</f>
        <v>0.21595330739307267</v>
      </c>
      <c r="P106" s="9" t="str" cm="1">
        <f t="array" ref="P106">_xlfn.IFS([1]!BTC_data[[#This Row],[BodyToRangeRatio]]&gt;=0.7,"Directional",[1]!BTC_data[[#This Row],[BodyToRangeRatio]]&lt;=0.3,"Indecision",TRUE,"Mixed")</f>
        <v>Indecision</v>
      </c>
      <c r="Q106" s="9" t="str" cm="1">
        <f t="array" ref="Q106">_xlfn.IFS([1]!BTC_data[[#This Row],[HourUTC]]&lt;8,"Asia",[1]!BTC_data[[#This Row],[HourUTC]]&lt;13,"London",[1]!BTC_data[[#This Row],[HourUTC]]&lt;21,"New York",TRUE,"AfterHours")</f>
        <v>London</v>
      </c>
    </row>
    <row r="107" spans="1:17" x14ac:dyDescent="0.3">
      <c r="A107" s="10">
        <v>93156.2</v>
      </c>
      <c r="B107" s="10">
        <v>93236.6</v>
      </c>
      <c r="C107" s="10">
        <v>65357</v>
      </c>
      <c r="D107" s="10">
        <v>70.118728880000006</v>
      </c>
      <c r="E107" s="10">
        <v>792</v>
      </c>
      <c r="F107" s="10">
        <v>11854</v>
      </c>
      <c r="G107" s="10">
        <v>12.71751353</v>
      </c>
      <c r="H107" s="10">
        <f>[1]!BTC_data[[#This Row],[high]]-[1]!BTC_data[[#This Row],[low]]</f>
        <v>173.19999999999709</v>
      </c>
      <c r="I107" s="11">
        <f>[1]!BTC_data[[#This Row],[CandleRange]]/[1]!BTC_data[[#This Row],[open]]</f>
        <v>1.8557924941122207E-3</v>
      </c>
      <c r="J107" s="12">
        <f>ABS([1]!BTC_data[[#This Row],[open]]-[1]!BTC_data[[#This Row],[close]])</f>
        <v>92.799999999988358</v>
      </c>
      <c r="K107" s="11">
        <f>[1]!BTC_data[[#This Row],[CandleBody]]/[1]!BTC_data[[#This Row],[open]]</f>
        <v>9.9432761809235218E-4</v>
      </c>
      <c r="L107" s="13">
        <f>IF([1]!BTC_data[[#This Row],[CandleRange]]&gt;0,([1]!BTC_data[[#This Row],[close]]-[1]!BTC_data[[#This Row],[low]])/[1]!BTC_data[[#This Row],[CandleRange]],"")</f>
        <v>0.46420323325640928</v>
      </c>
      <c r="M107" s="13">
        <f>IF([1]!BTC_data[[#This Row],[quote_volume]]&gt;0,[1]!BTC_data[[#This Row],[taker_buy_quote_volume]]/[1]!BTC_data[[#This Row],[quote_volume]],"")</f>
        <v>0.18137113625896634</v>
      </c>
      <c r="N107" t="str" cm="1">
        <f t="array" ref="N107">_xlfn.IFS([1]!BTC_data[[#This Row],[open]]-[1]!BTC_data[[#This Row],[close]]&gt;0,"Bearish",[1]!BTC_data[[#This Row],[open]]-[1]!BTC_data[[#This Row],[close]]&lt;0,"Bullish",TRUE,"Neutral")</f>
        <v>Bearish</v>
      </c>
      <c r="O107" s="13">
        <f>IF([1]!BTC_data[[#This Row],[CandleRange]]&gt;0,[1]!BTC_data[[#This Row],[CandleBody]]/[1]!BTC_data[[#This Row],[CandleRange]],"")</f>
        <v>0.53579676674359078</v>
      </c>
      <c r="P107" s="9" t="str" cm="1">
        <f t="array" ref="P107">_xlfn.IFS([1]!BTC_data[[#This Row],[BodyToRangeRatio]]&gt;=0.7,"Directional",[1]!BTC_data[[#This Row],[BodyToRangeRatio]]&lt;=0.3,"Indecision",TRUE,"Mixed")</f>
        <v>Mixed</v>
      </c>
      <c r="Q107" s="9" t="str" cm="1">
        <f t="array" ref="Q107">_xlfn.IFS([1]!BTC_data[[#This Row],[HourUTC]]&lt;8,"Asia",[1]!BTC_data[[#This Row],[HourUTC]]&lt;13,"London",[1]!BTC_data[[#This Row],[HourUTC]]&lt;21,"New York",TRUE,"AfterHours")</f>
        <v>London</v>
      </c>
    </row>
    <row r="108" spans="1:17" x14ac:dyDescent="0.3">
      <c r="A108" s="5">
        <v>93236.6</v>
      </c>
      <c r="B108" s="5">
        <v>93363.9</v>
      </c>
      <c r="C108" s="5">
        <v>14165</v>
      </c>
      <c r="D108" s="5">
        <v>15.17835103</v>
      </c>
      <c r="E108" s="5">
        <v>476</v>
      </c>
      <c r="F108" s="5">
        <v>7871</v>
      </c>
      <c r="G108" s="5">
        <v>8.4339433100000001</v>
      </c>
      <c r="H108" s="5">
        <f>[1]!BTC_data[[#This Row],[high]]-[1]!BTC_data[[#This Row],[low]]</f>
        <v>160</v>
      </c>
      <c r="I108" s="6">
        <f>[1]!BTC_data[[#This Row],[CandleRange]]/[1]!BTC_data[[#This Row],[open]]</f>
        <v>1.7160624518027772E-3</v>
      </c>
      <c r="J108" s="7">
        <f>ABS([1]!BTC_data[[#This Row],[open]]-[1]!BTC_data[[#This Row],[close]])</f>
        <v>127.19999999999709</v>
      </c>
      <c r="K108" s="6">
        <f>[1]!BTC_data[[#This Row],[CandleBody]]/[1]!BTC_data[[#This Row],[open]]</f>
        <v>1.3642696491831768E-3</v>
      </c>
      <c r="L108" s="8">
        <f>IF([1]!BTC_data[[#This Row],[CandleRange]]&gt;0,([1]!BTC_data[[#This Row],[close]]-[1]!BTC_data[[#This Row],[low]])/[1]!BTC_data[[#This Row],[CandleRange]],"")</f>
        <v>0.7956249999999272</v>
      </c>
      <c r="M108" s="8">
        <f>IF([1]!BTC_data[[#This Row],[quote_volume]]&gt;0,[1]!BTC_data[[#This Row],[taker_buy_quote_volume]]/[1]!BTC_data[[#This Row],[quote_volume]],"")</f>
        <v>0.55565609817102779</v>
      </c>
      <c r="N108" t="str" cm="1">
        <f t="array" ref="N108">_xlfn.IFS([1]!BTC_data[[#This Row],[open]]-[1]!BTC_data[[#This Row],[close]]&gt;0,"Bearish",[1]!BTC_data[[#This Row],[open]]-[1]!BTC_data[[#This Row],[close]]&lt;0,"Bullish",TRUE,"Neutral")</f>
        <v>Bullish</v>
      </c>
      <c r="O108" s="8">
        <f>IF([1]!BTC_data[[#This Row],[CandleRange]]&gt;0,[1]!BTC_data[[#This Row],[CandleBody]]/[1]!BTC_data[[#This Row],[CandleRange]],"")</f>
        <v>0.79499999999998183</v>
      </c>
      <c r="P108" s="9" t="str" cm="1">
        <f t="array" ref="P108">_xlfn.IFS([1]!BTC_data[[#This Row],[BodyToRangeRatio]]&gt;=0.7,"Directional",[1]!BTC_data[[#This Row],[BodyToRangeRatio]]&lt;=0.3,"Indecision",TRUE,"Mixed")</f>
        <v>Directional</v>
      </c>
      <c r="Q108" s="9" t="str" cm="1">
        <f t="array" ref="Q108">_xlfn.IFS([1]!BTC_data[[#This Row],[HourUTC]]&lt;8,"Asia",[1]!BTC_data[[#This Row],[HourUTC]]&lt;13,"London",[1]!BTC_data[[#This Row],[HourUTC]]&lt;21,"New York",TRUE,"AfterHours")</f>
        <v>London</v>
      </c>
    </row>
    <row r="109" spans="1:17" x14ac:dyDescent="0.3">
      <c r="A109" s="10">
        <v>93279</v>
      </c>
      <c r="B109" s="10">
        <v>93279.1</v>
      </c>
      <c r="C109" s="10">
        <v>17727</v>
      </c>
      <c r="D109" s="10">
        <v>18.995123840000002</v>
      </c>
      <c r="E109" s="10">
        <v>319</v>
      </c>
      <c r="F109" s="10">
        <v>8658</v>
      </c>
      <c r="G109" s="10">
        <v>9.2763955899999999</v>
      </c>
      <c r="H109" s="10">
        <f>[1]!BTC_data[[#This Row],[high]]-[1]!BTC_data[[#This Row],[low]]</f>
        <v>83.19999999999709</v>
      </c>
      <c r="I109" s="11">
        <f>[1]!BTC_data[[#This Row],[CandleRange]]/[1]!BTC_data[[#This Row],[open]]</f>
        <v>8.9115295055169105E-4</v>
      </c>
      <c r="J109" s="12">
        <f>ABS([1]!BTC_data[[#This Row],[open]]-[1]!BTC_data[[#This Row],[close]])</f>
        <v>83.099999999991269</v>
      </c>
      <c r="K109" s="11">
        <f>[1]!BTC_data[[#This Row],[CandleBody]]/[1]!BTC_data[[#This Row],[open]]</f>
        <v>8.9008185325529252E-4</v>
      </c>
      <c r="L109" s="13">
        <f>IF([1]!BTC_data[[#This Row],[CandleRange]]&gt;0,([1]!BTC_data[[#This Row],[close]]-[1]!BTC_data[[#This Row],[low]])/[1]!BTC_data[[#This Row],[CandleRange]],"")</f>
        <v>1.20192307699308E-3</v>
      </c>
      <c r="M109" s="13">
        <f>IF([1]!BTC_data[[#This Row],[quote_volume]]&gt;0,[1]!BTC_data[[#This Row],[taker_buy_quote_volume]]/[1]!BTC_data[[#This Row],[quote_volume]],"")</f>
        <v>0.48835667870012683</v>
      </c>
      <c r="N109" t="str" cm="1">
        <f t="array" ref="N109">_xlfn.IFS([1]!BTC_data[[#This Row],[open]]-[1]!BTC_data[[#This Row],[close]]&gt;0,"Bearish",[1]!BTC_data[[#This Row],[open]]-[1]!BTC_data[[#This Row],[close]]&lt;0,"Bullish",TRUE,"Neutral")</f>
        <v>Bearish</v>
      </c>
      <c r="O109" s="13">
        <f>IF([1]!BTC_data[[#This Row],[CandleRange]]&gt;0,[1]!BTC_data[[#This Row],[CandleBody]]/[1]!BTC_data[[#This Row],[CandleRange]],"")</f>
        <v>0.99879807692300693</v>
      </c>
      <c r="P109" s="9" t="str" cm="1">
        <f t="array" ref="P109">_xlfn.IFS([1]!BTC_data[[#This Row],[BodyToRangeRatio]]&gt;=0.7,"Directional",[1]!BTC_data[[#This Row],[BodyToRangeRatio]]&lt;=0.3,"Indecision",TRUE,"Mixed")</f>
        <v>Directional</v>
      </c>
      <c r="Q109" s="9" t="str" cm="1">
        <f t="array" ref="Q109">_xlfn.IFS([1]!BTC_data[[#This Row],[HourUTC]]&lt;8,"Asia",[1]!BTC_data[[#This Row],[HourUTC]]&lt;13,"London",[1]!BTC_data[[#This Row],[HourUTC]]&lt;21,"New York",TRUE,"AfterHours")</f>
        <v>London</v>
      </c>
    </row>
    <row r="110" spans="1:17" x14ac:dyDescent="0.3">
      <c r="A110" s="5">
        <v>93279</v>
      </c>
      <c r="B110" s="5">
        <v>93335.1</v>
      </c>
      <c r="C110" s="5">
        <v>9494</v>
      </c>
      <c r="D110" s="5">
        <v>10.175760909999999</v>
      </c>
      <c r="E110" s="5">
        <v>182</v>
      </c>
      <c r="F110" s="5">
        <v>9029</v>
      </c>
      <c r="G110" s="5">
        <v>9.6774149900000008</v>
      </c>
      <c r="H110" s="5">
        <f>[1]!BTC_data[[#This Row],[high]]-[1]!BTC_data[[#This Row],[low]]</f>
        <v>56.100000000005821</v>
      </c>
      <c r="I110" s="6">
        <f>[1]!BTC_data[[#This Row],[CandleRange]]/[1]!BTC_data[[#This Row],[open]]</f>
        <v>6.0142089707132486E-4</v>
      </c>
      <c r="J110" s="7">
        <f>ABS([1]!BTC_data[[#This Row],[open]]-[1]!BTC_data[[#This Row],[close]])</f>
        <v>56</v>
      </c>
      <c r="K110" s="6">
        <f>[1]!BTC_data[[#This Row],[CandleBody]]/[1]!BTC_data[[#This Row],[open]]</f>
        <v>6.0034884556133146E-4</v>
      </c>
      <c r="L110" s="8">
        <f>IF([1]!BTC_data[[#This Row],[CandleRange]]&gt;0,([1]!BTC_data[[#This Row],[close]]-[1]!BTC_data[[#This Row],[low]])/[1]!BTC_data[[#This Row],[CandleRange]],"")</f>
        <v>1</v>
      </c>
      <c r="M110" s="8">
        <f>IF([1]!BTC_data[[#This Row],[quote_volume]]&gt;0,[1]!BTC_data[[#This Row],[taker_buy_quote_volume]]/[1]!BTC_data[[#This Row],[quote_volume]],"")</f>
        <v>0.95102617638055353</v>
      </c>
      <c r="N110" t="str" cm="1">
        <f t="array" ref="N110">_xlfn.IFS([1]!BTC_data[[#This Row],[open]]-[1]!BTC_data[[#This Row],[close]]&gt;0,"Bearish",[1]!BTC_data[[#This Row],[open]]-[1]!BTC_data[[#This Row],[close]]&lt;0,"Bullish",TRUE,"Neutral")</f>
        <v>Bullish</v>
      </c>
      <c r="O110" s="8">
        <f>IF([1]!BTC_data[[#This Row],[CandleRange]]&gt;0,[1]!BTC_data[[#This Row],[CandleBody]]/[1]!BTC_data[[#This Row],[CandleRange]],"")</f>
        <v>0.99821746880560058</v>
      </c>
      <c r="P110" s="9" t="str" cm="1">
        <f t="array" ref="P110">_xlfn.IFS([1]!BTC_data[[#This Row],[BodyToRangeRatio]]&gt;=0.7,"Directional",[1]!BTC_data[[#This Row],[BodyToRangeRatio]]&lt;=0.3,"Indecision",TRUE,"Mixed")</f>
        <v>Directional</v>
      </c>
      <c r="Q110" s="9" t="str" cm="1">
        <f t="array" ref="Q110">_xlfn.IFS([1]!BTC_data[[#This Row],[HourUTC]]&lt;8,"Asia",[1]!BTC_data[[#This Row],[HourUTC]]&lt;13,"London",[1]!BTC_data[[#This Row],[HourUTC]]&lt;21,"New York",TRUE,"AfterHours")</f>
        <v>London</v>
      </c>
    </row>
    <row r="111" spans="1:17" x14ac:dyDescent="0.3">
      <c r="A111" s="10">
        <v>93199.2</v>
      </c>
      <c r="B111" s="10">
        <v>93258.6</v>
      </c>
      <c r="C111" s="10">
        <v>29934</v>
      </c>
      <c r="D111" s="10">
        <v>32.104553520000003</v>
      </c>
      <c r="E111" s="10">
        <v>491</v>
      </c>
      <c r="F111" s="10">
        <v>10293</v>
      </c>
      <c r="G111" s="10">
        <v>11.041180049999999</v>
      </c>
      <c r="H111" s="10">
        <f>[1]!BTC_data[[#This Row],[high]]-[1]!BTC_data[[#This Row],[low]]</f>
        <v>135.90000000000873</v>
      </c>
      <c r="I111" s="11">
        <f>[1]!BTC_data[[#This Row],[CandleRange]]/[1]!BTC_data[[#This Row],[open]]</f>
        <v>1.4560438677411684E-3</v>
      </c>
      <c r="J111" s="12">
        <f>ABS([1]!BTC_data[[#This Row],[open]]-[1]!BTC_data[[#This Row],[close]])</f>
        <v>76.5</v>
      </c>
      <c r="K111" s="11">
        <f>[1]!BTC_data[[#This Row],[CandleBody]]/[1]!BTC_data[[#This Row],[open]]</f>
        <v>8.1962734276815464E-4</v>
      </c>
      <c r="L111" s="13">
        <f>IF([1]!BTC_data[[#This Row],[CandleRange]]&gt;0,([1]!BTC_data[[#This Row],[close]]-[1]!BTC_data[[#This Row],[low]])/[1]!BTC_data[[#This Row],[CandleRange]],"")</f>
        <v>0.43708609271526794</v>
      </c>
      <c r="M111" s="13">
        <f>IF([1]!BTC_data[[#This Row],[quote_volume]]&gt;0,[1]!BTC_data[[#This Row],[taker_buy_quote_volume]]/[1]!BTC_data[[#This Row],[quote_volume]],"")</f>
        <v>0.3439132097919298</v>
      </c>
      <c r="N111" t="str" cm="1">
        <f t="array" ref="N111">_xlfn.IFS([1]!BTC_data[[#This Row],[open]]-[1]!BTC_data[[#This Row],[close]]&gt;0,"Bearish",[1]!BTC_data[[#This Row],[open]]-[1]!BTC_data[[#This Row],[close]]&lt;0,"Bullish",TRUE,"Neutral")</f>
        <v>Bearish</v>
      </c>
      <c r="O111" s="13">
        <f>IF([1]!BTC_data[[#This Row],[CandleRange]]&gt;0,[1]!BTC_data[[#This Row],[CandleBody]]/[1]!BTC_data[[#This Row],[CandleRange]],"")</f>
        <v>0.56291390728473201</v>
      </c>
      <c r="P111" s="9" t="str" cm="1">
        <f t="array" ref="P111">_xlfn.IFS([1]!BTC_data[[#This Row],[BodyToRangeRatio]]&gt;=0.7,"Directional",[1]!BTC_data[[#This Row],[BodyToRangeRatio]]&lt;=0.3,"Indecision",TRUE,"Mixed")</f>
        <v>Mixed</v>
      </c>
      <c r="Q111" s="9" t="str" cm="1">
        <f t="array" ref="Q111">_xlfn.IFS([1]!BTC_data[[#This Row],[HourUTC]]&lt;8,"Asia",[1]!BTC_data[[#This Row],[HourUTC]]&lt;13,"London",[1]!BTC_data[[#This Row],[HourUTC]]&lt;21,"New York",TRUE,"AfterHours")</f>
        <v>London</v>
      </c>
    </row>
    <row r="112" spans="1:17" x14ac:dyDescent="0.3">
      <c r="A112" s="5">
        <v>93064.5</v>
      </c>
      <c r="B112" s="5">
        <v>93167.3</v>
      </c>
      <c r="C112" s="5">
        <v>67501</v>
      </c>
      <c r="D112" s="5">
        <v>72.468411290000006</v>
      </c>
      <c r="E112" s="5">
        <v>993</v>
      </c>
      <c r="F112" s="5">
        <v>20898</v>
      </c>
      <c r="G112" s="5">
        <v>22.43654488</v>
      </c>
      <c r="H112" s="5">
        <f>[1]!BTC_data[[#This Row],[high]]-[1]!BTC_data[[#This Row],[low]]</f>
        <v>194.10000000000582</v>
      </c>
      <c r="I112" s="6">
        <f>[1]!BTC_data[[#This Row],[CandleRange]]/[1]!BTC_data[[#This Row],[open]]</f>
        <v>2.0813116230692734E-3</v>
      </c>
      <c r="J112" s="7">
        <f>ABS([1]!BTC_data[[#This Row],[open]]-[1]!BTC_data[[#This Row],[close]])</f>
        <v>91.19999999999709</v>
      </c>
      <c r="K112" s="6">
        <f>[1]!BTC_data[[#This Row],[CandleBody]]/[1]!BTC_data[[#This Row],[open]]</f>
        <v>9.7792694499693948E-4</v>
      </c>
      <c r="L112" s="8">
        <f>IF([1]!BTC_data[[#This Row],[CandleRange]]&gt;0,([1]!BTC_data[[#This Row],[close]]-[1]!BTC_data[[#This Row],[low]])/[1]!BTC_data[[#This Row],[CandleRange]],"")</f>
        <v>0.52962390520350244</v>
      </c>
      <c r="M112" s="8">
        <f>IF([1]!BTC_data[[#This Row],[quote_volume]]&gt;0,[1]!BTC_data[[#This Row],[taker_buy_quote_volume]]/[1]!BTC_data[[#This Row],[quote_volume]],"")</f>
        <v>0.30960448118856504</v>
      </c>
      <c r="N112" t="str" cm="1">
        <f t="array" ref="N112">_xlfn.IFS([1]!BTC_data[[#This Row],[open]]-[1]!BTC_data[[#This Row],[close]]&gt;0,"Bearish",[1]!BTC_data[[#This Row],[open]]-[1]!BTC_data[[#This Row],[close]]&lt;0,"Bullish",TRUE,"Neutral")</f>
        <v>Bearish</v>
      </c>
      <c r="O112" s="8">
        <f>IF([1]!BTC_data[[#This Row],[CandleRange]]&gt;0,[1]!BTC_data[[#This Row],[CandleBody]]/[1]!BTC_data[[#This Row],[CandleRange]],"")</f>
        <v>0.46986089644510232</v>
      </c>
      <c r="P112" s="9" t="str" cm="1">
        <f t="array" ref="P112">_xlfn.IFS([1]!BTC_data[[#This Row],[BodyToRangeRatio]]&gt;=0.7,"Directional",[1]!BTC_data[[#This Row],[BodyToRangeRatio]]&lt;=0.3,"Indecision",TRUE,"Mixed")</f>
        <v>Mixed</v>
      </c>
      <c r="Q112" s="9" t="str" cm="1">
        <f t="array" ref="Q112">_xlfn.IFS([1]!BTC_data[[#This Row],[HourUTC]]&lt;8,"Asia",[1]!BTC_data[[#This Row],[HourUTC]]&lt;13,"London",[1]!BTC_data[[#This Row],[HourUTC]]&lt;21,"New York",TRUE,"AfterHours")</f>
        <v>London</v>
      </c>
    </row>
    <row r="113" spans="1:17" x14ac:dyDescent="0.3">
      <c r="A113" s="10">
        <v>93032.3</v>
      </c>
      <c r="B113" s="10">
        <v>93124.2</v>
      </c>
      <c r="C113" s="10">
        <v>87479</v>
      </c>
      <c r="D113" s="10">
        <v>93.958394179999999</v>
      </c>
      <c r="E113" s="10">
        <v>996</v>
      </c>
      <c r="F113" s="10">
        <v>45044</v>
      </c>
      <c r="G113" s="10">
        <v>48.377877439999999</v>
      </c>
      <c r="H113" s="10">
        <f>[1]!BTC_data[[#This Row],[high]]-[1]!BTC_data[[#This Row],[low]]</f>
        <v>145.19999999999709</v>
      </c>
      <c r="I113" s="11">
        <f>[1]!BTC_data[[#This Row],[CandleRange]]/[1]!BTC_data[[#This Row],[open]]</f>
        <v>1.5584867222726974E-3</v>
      </c>
      <c r="J113" s="12">
        <f>ABS([1]!BTC_data[[#This Row],[open]]-[1]!BTC_data[[#This Row],[close]])</f>
        <v>43.100000000005821</v>
      </c>
      <c r="K113" s="11">
        <f>[1]!BTC_data[[#This Row],[CandleBody]]/[1]!BTC_data[[#This Row],[open]]</f>
        <v>4.6260866205209147E-4</v>
      </c>
      <c r="L113" s="13">
        <f>IF([1]!BTC_data[[#This Row],[CandleRange]]&gt;0,([1]!BTC_data[[#This Row],[close]]-[1]!BTC_data[[#This Row],[low]])/[1]!BTC_data[[#This Row],[CandleRange]],"")</f>
        <v>0.63292011019281003</v>
      </c>
      <c r="M113" s="13">
        <f>IF([1]!BTC_data[[#This Row],[quote_volume]]&gt;0,[1]!BTC_data[[#This Row],[taker_buy_quote_volume]]/[1]!BTC_data[[#This Row],[quote_volume]],"")</f>
        <v>0.51488616703389467</v>
      </c>
      <c r="N113" t="str" cm="1">
        <f t="array" ref="N113">_xlfn.IFS([1]!BTC_data[[#This Row],[open]]-[1]!BTC_data[[#This Row],[close]]&gt;0,"Bearish",[1]!BTC_data[[#This Row],[open]]-[1]!BTC_data[[#This Row],[close]]&lt;0,"Bullish",TRUE,"Neutral")</f>
        <v>Bearish</v>
      </c>
      <c r="O113" s="13">
        <f>IF([1]!BTC_data[[#This Row],[CandleRange]]&gt;0,[1]!BTC_data[[#This Row],[CandleBody]]/[1]!BTC_data[[#This Row],[CandleRange]],"")</f>
        <v>0.29683195592291106</v>
      </c>
      <c r="P113" s="9" t="str" cm="1">
        <f t="array" ref="P113">_xlfn.IFS([1]!BTC_data[[#This Row],[BodyToRangeRatio]]&gt;=0.7,"Directional",[1]!BTC_data[[#This Row],[BodyToRangeRatio]]&lt;=0.3,"Indecision",TRUE,"Mixed")</f>
        <v>Indecision</v>
      </c>
      <c r="Q113" s="9" t="str" cm="1">
        <f t="array" ref="Q113">_xlfn.IFS([1]!BTC_data[[#This Row],[HourUTC]]&lt;8,"Asia",[1]!BTC_data[[#This Row],[HourUTC]]&lt;13,"London",[1]!BTC_data[[#This Row],[HourUTC]]&lt;21,"New York",TRUE,"AfterHours")</f>
        <v>London</v>
      </c>
    </row>
    <row r="114" spans="1:17" x14ac:dyDescent="0.3">
      <c r="A114" s="5">
        <v>92950.7</v>
      </c>
      <c r="B114" s="5">
        <v>92952.2</v>
      </c>
      <c r="C114" s="5">
        <v>117691</v>
      </c>
      <c r="D114" s="5">
        <v>126.51844599</v>
      </c>
      <c r="E114" s="5">
        <v>1560</v>
      </c>
      <c r="F114" s="5">
        <v>41211</v>
      </c>
      <c r="G114" s="5">
        <v>44.297986629999997</v>
      </c>
      <c r="H114" s="5">
        <f>[1]!BTC_data[[#This Row],[high]]-[1]!BTC_data[[#This Row],[low]]</f>
        <v>208</v>
      </c>
      <c r="I114" s="6">
        <f>[1]!BTC_data[[#This Row],[CandleRange]]/[1]!BTC_data[[#This Row],[open]]</f>
        <v>2.2335786332431666E-3</v>
      </c>
      <c r="J114" s="7">
        <f>ABS([1]!BTC_data[[#This Row],[open]]-[1]!BTC_data[[#This Row],[close]])</f>
        <v>171.90000000000873</v>
      </c>
      <c r="K114" s="6">
        <f>[1]!BTC_data[[#This Row],[CandleBody]]/[1]!BTC_data[[#This Row],[open]]</f>
        <v>1.8459238800698071E-3</v>
      </c>
      <c r="L114" s="8">
        <f>IF([1]!BTC_data[[#This Row],[CandleRange]]&gt;0,([1]!BTC_data[[#This Row],[close]]-[1]!BTC_data[[#This Row],[low]])/[1]!BTC_data[[#This Row],[CandleRange]],"")</f>
        <v>7.2115384615384619E-3</v>
      </c>
      <c r="M114" s="8">
        <f>IF([1]!BTC_data[[#This Row],[quote_volume]]&gt;0,[1]!BTC_data[[#This Row],[taker_buy_quote_volume]]/[1]!BTC_data[[#This Row],[quote_volume]],"")</f>
        <v>0.35013065710197944</v>
      </c>
      <c r="N114" t="str" cm="1">
        <f t="array" ref="N114">_xlfn.IFS([1]!BTC_data[[#This Row],[open]]-[1]!BTC_data[[#This Row],[close]]&gt;0,"Bearish",[1]!BTC_data[[#This Row],[open]]-[1]!BTC_data[[#This Row],[close]]&lt;0,"Bullish",TRUE,"Neutral")</f>
        <v>Bearish</v>
      </c>
      <c r="O114" s="8">
        <f>IF([1]!BTC_data[[#This Row],[CandleRange]]&gt;0,[1]!BTC_data[[#This Row],[CandleBody]]/[1]!BTC_data[[#This Row],[CandleRange]],"")</f>
        <v>0.82644230769234972</v>
      </c>
      <c r="P114" s="9" t="str" cm="1">
        <f t="array" ref="P114">_xlfn.IFS([1]!BTC_data[[#This Row],[BodyToRangeRatio]]&gt;=0.7,"Directional",[1]!BTC_data[[#This Row],[BodyToRangeRatio]]&lt;=0.3,"Indecision",TRUE,"Mixed")</f>
        <v>Directional</v>
      </c>
      <c r="Q114" s="9" t="str" cm="1">
        <f t="array" ref="Q114">_xlfn.IFS([1]!BTC_data[[#This Row],[HourUTC]]&lt;8,"Asia",[1]!BTC_data[[#This Row],[HourUTC]]&lt;13,"London",[1]!BTC_data[[#This Row],[HourUTC]]&lt;21,"New York",TRUE,"AfterHours")</f>
        <v>London</v>
      </c>
    </row>
    <row r="115" spans="1:17" x14ac:dyDescent="0.3">
      <c r="A115" s="10">
        <v>92735.1</v>
      </c>
      <c r="B115" s="10">
        <v>92969.8</v>
      </c>
      <c r="C115" s="10">
        <v>363761</v>
      </c>
      <c r="D115" s="10">
        <v>391.72202056999998</v>
      </c>
      <c r="E115" s="10">
        <v>3644</v>
      </c>
      <c r="F115" s="10">
        <v>91140</v>
      </c>
      <c r="G115" s="10">
        <v>98.141606159999995</v>
      </c>
      <c r="H115" s="10">
        <f>[1]!BTC_data[[#This Row],[high]]-[1]!BTC_data[[#This Row],[low]]</f>
        <v>242.09999999999127</v>
      </c>
      <c r="I115" s="11">
        <f>[1]!BTC_data[[#This Row],[CandleRange]]/[1]!BTC_data[[#This Row],[open]]</f>
        <v>2.6045644965906269E-3</v>
      </c>
      <c r="J115" s="12">
        <f>ABS([1]!BTC_data[[#This Row],[open]]-[1]!BTC_data[[#This Row],[close]])</f>
        <v>17.600000000005821</v>
      </c>
      <c r="K115" s="11">
        <f>[1]!BTC_data[[#This Row],[CandleBody]]/[1]!BTC_data[[#This Row],[open]]</f>
        <v>1.8934463089637278E-4</v>
      </c>
      <c r="L115" s="13">
        <f>IF([1]!BTC_data[[#This Row],[CandleRange]]&gt;0,([1]!BTC_data[[#This Row],[close]]-[1]!BTC_data[[#This Row],[low]])/[1]!BTC_data[[#This Row],[CandleRange]],"")</f>
        <v>0.96943411813302582</v>
      </c>
      <c r="M115" s="13">
        <f>IF([1]!BTC_data[[#This Row],[quote_volume]]&gt;0,[1]!BTC_data[[#This Row],[taker_buy_quote_volume]]/[1]!BTC_data[[#This Row],[quote_volume]],"")</f>
        <v>0.25053890515828758</v>
      </c>
      <c r="N115" t="str" cm="1">
        <f t="array" ref="N115">_xlfn.IFS([1]!BTC_data[[#This Row],[open]]-[1]!BTC_data[[#This Row],[close]]&gt;0,"Bearish",[1]!BTC_data[[#This Row],[open]]-[1]!BTC_data[[#This Row],[close]]&lt;0,"Bullish",TRUE,"Neutral")</f>
        <v>Bullish</v>
      </c>
      <c r="O115" s="13">
        <f>IF([1]!BTC_data[[#This Row],[CandleRange]]&gt;0,[1]!BTC_data[[#This Row],[CandleBody]]/[1]!BTC_data[[#This Row],[CandleRange]],"")</f>
        <v>7.2697232548560323E-2</v>
      </c>
      <c r="P115" s="9" t="str" cm="1">
        <f t="array" ref="P115">_xlfn.IFS([1]!BTC_data[[#This Row],[BodyToRangeRatio]]&gt;=0.7,"Directional",[1]!BTC_data[[#This Row],[BodyToRangeRatio]]&lt;=0.3,"Indecision",TRUE,"Mixed")</f>
        <v>Indecision</v>
      </c>
      <c r="Q115" s="9" t="str" cm="1">
        <f t="array" ref="Q115">_xlfn.IFS([1]!BTC_data[[#This Row],[HourUTC]]&lt;8,"Asia",[1]!BTC_data[[#This Row],[HourUTC]]&lt;13,"London",[1]!BTC_data[[#This Row],[HourUTC]]&lt;21,"New York",TRUE,"AfterHours")</f>
        <v>London</v>
      </c>
    </row>
    <row r="116" spans="1:17" x14ac:dyDescent="0.3">
      <c r="A116" s="5">
        <v>92920.1</v>
      </c>
      <c r="B116" s="5">
        <v>93051</v>
      </c>
      <c r="C116" s="5">
        <v>103484</v>
      </c>
      <c r="D116" s="5">
        <v>111.26254364</v>
      </c>
      <c r="E116" s="5">
        <v>1306</v>
      </c>
      <c r="F116" s="5">
        <v>77013</v>
      </c>
      <c r="G116" s="5">
        <v>82.813540660000001</v>
      </c>
      <c r="H116" s="5">
        <f>[1]!BTC_data[[#This Row],[high]]-[1]!BTC_data[[#This Row],[low]]</f>
        <v>218.19999999999709</v>
      </c>
      <c r="I116" s="6">
        <f>[1]!BTC_data[[#This Row],[CandleRange]]/[1]!BTC_data[[#This Row],[open]]</f>
        <v>2.3469987028045354E-3</v>
      </c>
      <c r="J116" s="7">
        <f>ABS([1]!BTC_data[[#This Row],[open]]-[1]!BTC_data[[#This Row],[close]])</f>
        <v>81.19999999999709</v>
      </c>
      <c r="K116" s="6">
        <f>[1]!BTC_data[[#This Row],[CandleBody]]/[1]!BTC_data[[#This Row],[open]]</f>
        <v>8.7340190040203472E-4</v>
      </c>
      <c r="L116" s="8">
        <f>IF([1]!BTC_data[[#This Row],[CandleRange]]&gt;0,([1]!BTC_data[[#This Row],[close]]-[1]!BTC_data[[#This Row],[low]])/[1]!BTC_data[[#This Row],[CandleRange]],"")</f>
        <v>0.59990834097156698</v>
      </c>
      <c r="M116" s="8">
        <f>IF([1]!BTC_data[[#This Row],[quote_volume]]&gt;0,[1]!BTC_data[[#This Row],[taker_buy_quote_volume]]/[1]!BTC_data[[#This Row],[quote_volume]],"")</f>
        <v>0.74430745469877702</v>
      </c>
      <c r="N116" t="str" cm="1">
        <f t="array" ref="N116">_xlfn.IFS([1]!BTC_data[[#This Row],[open]]-[1]!BTC_data[[#This Row],[close]]&gt;0,"Bearish",[1]!BTC_data[[#This Row],[open]]-[1]!BTC_data[[#This Row],[close]]&lt;0,"Bullish",TRUE,"Neutral")</f>
        <v>Bullish</v>
      </c>
      <c r="O116" s="8">
        <f>IF([1]!BTC_data[[#This Row],[CandleRange]]&gt;0,[1]!BTC_data[[#This Row],[CandleBody]]/[1]!BTC_data[[#This Row],[CandleRange]],"")</f>
        <v>0.37213565536204479</v>
      </c>
      <c r="P116" s="9" t="str" cm="1">
        <f t="array" ref="P116">_xlfn.IFS([1]!BTC_data[[#This Row],[BodyToRangeRatio]]&gt;=0.7,"Directional",[1]!BTC_data[[#This Row],[BodyToRangeRatio]]&lt;=0.3,"Indecision",TRUE,"Mixed")</f>
        <v>Mixed</v>
      </c>
      <c r="Q116" s="9" t="str" cm="1">
        <f t="array" ref="Q116">_xlfn.IFS([1]!BTC_data[[#This Row],[HourUTC]]&lt;8,"Asia",[1]!BTC_data[[#This Row],[HourUTC]]&lt;13,"London",[1]!BTC_data[[#This Row],[HourUTC]]&lt;21,"New York",TRUE,"AfterHours")</f>
        <v>London</v>
      </c>
    </row>
    <row r="117" spans="1:17" x14ac:dyDescent="0.3">
      <c r="A117" s="10">
        <v>92869</v>
      </c>
      <c r="B117" s="10">
        <v>92892</v>
      </c>
      <c r="C117" s="10">
        <v>61938</v>
      </c>
      <c r="D117" s="10">
        <v>66.642422229999994</v>
      </c>
      <c r="E117" s="10">
        <v>640</v>
      </c>
      <c r="F117" s="10">
        <v>17976</v>
      </c>
      <c r="G117" s="10">
        <v>19.337930549999999</v>
      </c>
      <c r="H117" s="10">
        <f>[1]!BTC_data[[#This Row],[high]]-[1]!BTC_data[[#This Row],[low]]</f>
        <v>184.39999999999418</v>
      </c>
      <c r="I117" s="11">
        <f>[1]!BTC_data[[#This Row],[CandleRange]]/[1]!BTC_data[[#This Row],[open]]</f>
        <v>1.9817089553040182E-3</v>
      </c>
      <c r="J117" s="12">
        <f>ABS([1]!BTC_data[[#This Row],[open]]-[1]!BTC_data[[#This Row],[close]])</f>
        <v>159</v>
      </c>
      <c r="K117" s="11">
        <f>[1]!BTC_data[[#This Row],[CandleBody]]/[1]!BTC_data[[#This Row],[open]]</f>
        <v>1.7087403681851888E-3</v>
      </c>
      <c r="L117" s="13">
        <f>IF([1]!BTC_data[[#This Row],[CandleRange]]&gt;0,([1]!BTC_data[[#This Row],[close]]-[1]!BTC_data[[#This Row],[low]])/[1]!BTC_data[[#This Row],[CandleRange]],"")</f>
        <v>0.12472885032538354</v>
      </c>
      <c r="M117" s="13">
        <f>IF([1]!BTC_data[[#This Row],[quote_volume]]&gt;0,[1]!BTC_data[[#This Row],[taker_buy_quote_volume]]/[1]!BTC_data[[#This Row],[quote_volume]],"")</f>
        <v>0.29017448500385939</v>
      </c>
      <c r="N117" t="str" cm="1">
        <f t="array" ref="N117">_xlfn.IFS([1]!BTC_data[[#This Row],[open]]-[1]!BTC_data[[#This Row],[close]]&gt;0,"Bearish",[1]!BTC_data[[#This Row],[open]]-[1]!BTC_data[[#This Row],[close]]&lt;0,"Bullish",TRUE,"Neutral")</f>
        <v>Bearish</v>
      </c>
      <c r="O117" s="13">
        <f>IF([1]!BTC_data[[#This Row],[CandleRange]]&gt;0,[1]!BTC_data[[#This Row],[CandleBody]]/[1]!BTC_data[[#This Row],[CandleRange]],"")</f>
        <v>0.86225596529286885</v>
      </c>
      <c r="P117" s="9" t="str" cm="1">
        <f t="array" ref="P117">_xlfn.IFS([1]!BTC_data[[#This Row],[BodyToRangeRatio]]&gt;=0.7,"Directional",[1]!BTC_data[[#This Row],[BodyToRangeRatio]]&lt;=0.3,"Indecision",TRUE,"Mixed")</f>
        <v>Directional</v>
      </c>
      <c r="Q117" s="9" t="str" cm="1">
        <f t="array" ref="Q117">_xlfn.IFS([1]!BTC_data[[#This Row],[HourUTC]]&lt;8,"Asia",[1]!BTC_data[[#This Row],[HourUTC]]&lt;13,"London",[1]!BTC_data[[#This Row],[HourUTC]]&lt;21,"New York",TRUE,"AfterHours")</f>
        <v>London</v>
      </c>
    </row>
    <row r="118" spans="1:17" x14ac:dyDescent="0.3">
      <c r="A118" s="5">
        <v>92828.3</v>
      </c>
      <c r="B118" s="5">
        <v>92939.1</v>
      </c>
      <c r="C118" s="5">
        <v>52215</v>
      </c>
      <c r="D118" s="5">
        <v>56.207678459999997</v>
      </c>
      <c r="E118" s="5">
        <v>668</v>
      </c>
      <c r="F118" s="5">
        <v>13720</v>
      </c>
      <c r="G118" s="5">
        <v>14.76724203</v>
      </c>
      <c r="H118" s="5">
        <f>[1]!BTC_data[[#This Row],[high]]-[1]!BTC_data[[#This Row],[low]]</f>
        <v>128.5</v>
      </c>
      <c r="I118" s="6">
        <f>[1]!BTC_data[[#This Row],[CandleRange]]/[1]!BTC_data[[#This Row],[open]]</f>
        <v>1.3833283633987463E-3</v>
      </c>
      <c r="J118" s="7">
        <f>ABS([1]!BTC_data[[#This Row],[open]]-[1]!BTC_data[[#This Row],[close]])</f>
        <v>47.200000000011642</v>
      </c>
      <c r="K118" s="6">
        <f>[1]!BTC_data[[#This Row],[CandleBody]]/[1]!BTC_data[[#This Row],[open]]</f>
        <v>5.0811750001896448E-4</v>
      </c>
      <c r="L118" s="8">
        <f>IF([1]!BTC_data[[#This Row],[CandleRange]]&gt;0,([1]!BTC_data[[#This Row],[close]]-[1]!BTC_data[[#This Row],[low]])/[1]!BTC_data[[#This Row],[CandleRange]],"")</f>
        <v>0.86225680933854409</v>
      </c>
      <c r="M118" s="8">
        <f>IF([1]!BTC_data[[#This Row],[quote_volume]]&gt;0,[1]!BTC_data[[#This Row],[taker_buy_quote_volume]]/[1]!BTC_data[[#This Row],[quote_volume]],"")</f>
        <v>0.26272641807309399</v>
      </c>
      <c r="N118" t="str" cm="1">
        <f t="array" ref="N118">_xlfn.IFS([1]!BTC_data[[#This Row],[open]]-[1]!BTC_data[[#This Row],[close]]&gt;0,"Bearish",[1]!BTC_data[[#This Row],[open]]-[1]!BTC_data[[#This Row],[close]]&lt;0,"Bullish",TRUE,"Neutral")</f>
        <v>Bullish</v>
      </c>
      <c r="O118" s="8">
        <f>IF([1]!BTC_data[[#This Row],[CandleRange]]&gt;0,[1]!BTC_data[[#This Row],[CandleBody]]/[1]!BTC_data[[#This Row],[CandleRange]],"")</f>
        <v>0.36731517509736689</v>
      </c>
      <c r="P118" s="9" t="str" cm="1">
        <f t="array" ref="P118">_xlfn.IFS([1]!BTC_data[[#This Row],[BodyToRangeRatio]]&gt;=0.7,"Directional",[1]!BTC_data[[#This Row],[BodyToRangeRatio]]&lt;=0.3,"Indecision",TRUE,"Mixed")</f>
        <v>Mixed</v>
      </c>
      <c r="Q118" s="9" t="str" cm="1">
        <f t="array" ref="Q118">_xlfn.IFS([1]!BTC_data[[#This Row],[HourUTC]]&lt;8,"Asia",[1]!BTC_data[[#This Row],[HourUTC]]&lt;13,"London",[1]!BTC_data[[#This Row],[HourUTC]]&lt;21,"New York",TRUE,"AfterHours")</f>
        <v>London</v>
      </c>
    </row>
    <row r="119" spans="1:17" x14ac:dyDescent="0.3">
      <c r="A119" s="10">
        <v>92890.5</v>
      </c>
      <c r="B119" s="10">
        <v>93044</v>
      </c>
      <c r="C119" s="10">
        <v>120112</v>
      </c>
      <c r="D119" s="10">
        <v>129.18881056999999</v>
      </c>
      <c r="E119" s="10">
        <v>1016</v>
      </c>
      <c r="F119" s="10">
        <v>61569</v>
      </c>
      <c r="G119" s="10">
        <v>66.203984680000005</v>
      </c>
      <c r="H119" s="10">
        <f>[1]!BTC_data[[#This Row],[high]]-[1]!BTC_data[[#This Row],[low]]</f>
        <v>192.60000000000582</v>
      </c>
      <c r="I119" s="11">
        <f>[1]!BTC_data[[#This Row],[CandleRange]]/[1]!BTC_data[[#This Row],[open]]</f>
        <v>2.0723247804207896E-3</v>
      </c>
      <c r="J119" s="12">
        <f>ABS([1]!BTC_data[[#This Row],[open]]-[1]!BTC_data[[#This Row],[close]])</f>
        <v>104.89999999999418</v>
      </c>
      <c r="K119" s="11">
        <f>[1]!BTC_data[[#This Row],[CandleBody]]/[1]!BTC_data[[#This Row],[open]]</f>
        <v>1.1286961031470519E-3</v>
      </c>
      <c r="L119" s="13">
        <f>IF([1]!BTC_data[[#This Row],[CandleRange]]&gt;0,([1]!BTC_data[[#This Row],[close]]-[1]!BTC_data[[#This Row],[low]])/[1]!BTC_data[[#This Row],[CandleRange]],"")</f>
        <v>0.79698857736238504</v>
      </c>
      <c r="M119" s="13">
        <f>IF([1]!BTC_data[[#This Row],[quote_volume]]&gt;0,[1]!BTC_data[[#This Row],[taker_buy_quote_volume]]/[1]!BTC_data[[#This Row],[quote_volume]],"")</f>
        <v>0.51245912388153669</v>
      </c>
      <c r="N119" t="str" cm="1">
        <f t="array" ref="N119">_xlfn.IFS([1]!BTC_data[[#This Row],[open]]-[1]!BTC_data[[#This Row],[close]]&gt;0,"Bearish",[1]!BTC_data[[#This Row],[open]]-[1]!BTC_data[[#This Row],[close]]&lt;0,"Bullish",TRUE,"Neutral")</f>
        <v>Bullish</v>
      </c>
      <c r="O119" s="13">
        <f>IF([1]!BTC_data[[#This Row],[CandleRange]]&gt;0,[1]!BTC_data[[#This Row],[CandleBody]]/[1]!BTC_data[[#This Row],[CandleRange]],"")</f>
        <v>0.54465212876423164</v>
      </c>
      <c r="P119" s="9" t="str" cm="1">
        <f t="array" ref="P119">_xlfn.IFS([1]!BTC_data[[#This Row],[BodyToRangeRatio]]&gt;=0.7,"Directional",[1]!BTC_data[[#This Row],[BodyToRangeRatio]]&lt;=0.3,"Indecision",TRUE,"Mixed")</f>
        <v>Mixed</v>
      </c>
      <c r="Q119" s="9" t="str" cm="1">
        <f t="array" ref="Q119">_xlfn.IFS([1]!BTC_data[[#This Row],[HourUTC]]&lt;8,"Asia",[1]!BTC_data[[#This Row],[HourUTC]]&lt;13,"London",[1]!BTC_data[[#This Row],[HourUTC]]&lt;21,"New York",TRUE,"AfterHours")</f>
        <v>London</v>
      </c>
    </row>
    <row r="120" spans="1:17" x14ac:dyDescent="0.3">
      <c r="A120" s="5">
        <v>93044.1</v>
      </c>
      <c r="B120" s="5">
        <v>93244.5</v>
      </c>
      <c r="C120" s="5">
        <v>89068</v>
      </c>
      <c r="D120" s="5">
        <v>95.567829689999996</v>
      </c>
      <c r="E120" s="5">
        <v>1221</v>
      </c>
      <c r="F120" s="5">
        <v>72525</v>
      </c>
      <c r="G120" s="5">
        <v>77.820758870000006</v>
      </c>
      <c r="H120" s="5">
        <f>[1]!BTC_data[[#This Row],[high]]-[1]!BTC_data[[#This Row],[low]]</f>
        <v>226.09999999999127</v>
      </c>
      <c r="I120" s="6">
        <f>[1]!BTC_data[[#This Row],[CandleRange]]/[1]!BTC_data[[#This Row],[open]]</f>
        <v>2.4300304909176534E-3</v>
      </c>
      <c r="J120" s="7">
        <f>ABS([1]!BTC_data[[#This Row],[open]]-[1]!BTC_data[[#This Row],[close]])</f>
        <v>200.39999999999418</v>
      </c>
      <c r="K120" s="6">
        <f>[1]!BTC_data[[#This Row],[CandleBody]]/[1]!BTC_data[[#This Row],[open]]</f>
        <v>2.1538173833697588E-3</v>
      </c>
      <c r="L120" s="8">
        <f>IF([1]!BTC_data[[#This Row],[CandleRange]]&gt;0,([1]!BTC_data[[#This Row],[close]]-[1]!BTC_data[[#This Row],[low]])/[1]!BTC_data[[#This Row],[CandleRange]],"")</f>
        <v>0.88633348076073382</v>
      </c>
      <c r="M120" s="8">
        <f>IF([1]!BTC_data[[#This Row],[quote_volume]]&gt;0,[1]!BTC_data[[#This Row],[taker_buy_quote_volume]]/[1]!BTC_data[[#This Row],[quote_volume]],"")</f>
        <v>0.81429869363396246</v>
      </c>
      <c r="N120" t="str" cm="1">
        <f t="array" ref="N120">_xlfn.IFS([1]!BTC_data[[#This Row],[open]]-[1]!BTC_data[[#This Row],[close]]&gt;0,"Bearish",[1]!BTC_data[[#This Row],[open]]-[1]!BTC_data[[#This Row],[close]]&lt;0,"Bullish",TRUE,"Neutral")</f>
        <v>Bullish</v>
      </c>
      <c r="O120" s="8">
        <f>IF([1]!BTC_data[[#This Row],[CandleRange]]&gt;0,[1]!BTC_data[[#This Row],[CandleBody]]/[1]!BTC_data[[#This Row],[CandleRange]],"")</f>
        <v>0.88633348076073382</v>
      </c>
      <c r="P120" s="9" t="str" cm="1">
        <f t="array" ref="P120">_xlfn.IFS([1]!BTC_data[[#This Row],[BodyToRangeRatio]]&gt;=0.7,"Directional",[1]!BTC_data[[#This Row],[BodyToRangeRatio]]&lt;=0.3,"Indecision",TRUE,"Mixed")</f>
        <v>Directional</v>
      </c>
      <c r="Q120" s="9" t="str" cm="1">
        <f t="array" ref="Q120">_xlfn.IFS([1]!BTC_data[[#This Row],[HourUTC]]&lt;8,"Asia",[1]!BTC_data[[#This Row],[HourUTC]]&lt;13,"London",[1]!BTC_data[[#This Row],[HourUTC]]&lt;21,"New York",TRUE,"AfterHours")</f>
        <v>London</v>
      </c>
    </row>
    <row r="121" spans="1:17" x14ac:dyDescent="0.3">
      <c r="A121" s="10">
        <v>93212.6</v>
      </c>
      <c r="B121" s="10">
        <v>93259.4</v>
      </c>
      <c r="C121" s="10">
        <v>18092</v>
      </c>
      <c r="D121" s="10">
        <v>19.402616330000001</v>
      </c>
      <c r="E121" s="10">
        <v>375</v>
      </c>
      <c r="F121" s="10">
        <v>5238</v>
      </c>
      <c r="G121" s="10">
        <v>5.6178146800000004</v>
      </c>
      <c r="H121" s="10">
        <f>[1]!BTC_data[[#This Row],[high]]-[1]!BTC_data[[#This Row],[low]]</f>
        <v>57</v>
      </c>
      <c r="I121" s="11">
        <f>[1]!BTC_data[[#This Row],[CandleRange]]/[1]!BTC_data[[#This Row],[open]]</f>
        <v>6.1129610861766651E-4</v>
      </c>
      <c r="J121" s="12">
        <f>ABS([1]!BTC_data[[#This Row],[open]]-[1]!BTC_data[[#This Row],[close]])</f>
        <v>14.899999999994179</v>
      </c>
      <c r="K121" s="11">
        <f>[1]!BTC_data[[#This Row],[CandleBody]]/[1]!BTC_data[[#This Row],[open]]</f>
        <v>1.5979494769122231E-4</v>
      </c>
      <c r="L121" s="13">
        <f>IF([1]!BTC_data[[#This Row],[CandleRange]]&gt;0,([1]!BTC_data[[#This Row],[close]]-[1]!BTC_data[[#This Row],[low]])/[1]!BTC_data[[#This Row],[CandleRange]],"")</f>
        <v>0.82105263157874309</v>
      </c>
      <c r="M121" s="13">
        <f>IF([1]!BTC_data[[#This Row],[quote_volume]]&gt;0,[1]!BTC_data[[#This Row],[taker_buy_quote_volume]]/[1]!BTC_data[[#This Row],[quote_volume]],"")</f>
        <v>0.28953902836875817</v>
      </c>
      <c r="N121" t="str" cm="1">
        <f t="array" ref="N121">_xlfn.IFS([1]!BTC_data[[#This Row],[open]]-[1]!BTC_data[[#This Row],[close]]&gt;0,"Bearish",[1]!BTC_data[[#This Row],[open]]-[1]!BTC_data[[#This Row],[close]]&lt;0,"Bullish",TRUE,"Neutral")</f>
        <v>Bullish</v>
      </c>
      <c r="O121" s="13">
        <f>IF([1]!BTC_data[[#This Row],[CandleRange]]&gt;0,[1]!BTC_data[[#This Row],[CandleBody]]/[1]!BTC_data[[#This Row],[CandleRange]],"")</f>
        <v>0.26140350877182772</v>
      </c>
      <c r="P121" s="9" t="str" cm="1">
        <f t="array" ref="P121">_xlfn.IFS([1]!BTC_data[[#This Row],[BodyToRangeRatio]]&gt;=0.7,"Directional",[1]!BTC_data[[#This Row],[BodyToRangeRatio]]&lt;=0.3,"Indecision",TRUE,"Mixed")</f>
        <v>Indecision</v>
      </c>
      <c r="Q121" s="9" t="str" cm="1">
        <f t="array" ref="Q121">_xlfn.IFS([1]!BTC_data[[#This Row],[HourUTC]]&lt;8,"Asia",[1]!BTC_data[[#This Row],[HourUTC]]&lt;13,"London",[1]!BTC_data[[#This Row],[HourUTC]]&lt;21,"New York",TRUE,"AfterHours")</f>
        <v>London</v>
      </c>
    </row>
    <row r="122" spans="1:17" x14ac:dyDescent="0.3">
      <c r="A122" s="5">
        <v>93202.5</v>
      </c>
      <c r="B122" s="5">
        <v>93344</v>
      </c>
      <c r="C122" s="5">
        <v>71163</v>
      </c>
      <c r="D122" s="5">
        <v>76.282871610000001</v>
      </c>
      <c r="E122" s="5">
        <v>1069</v>
      </c>
      <c r="F122" s="5">
        <v>44880</v>
      </c>
      <c r="G122" s="5">
        <v>48.106404679999997</v>
      </c>
      <c r="H122" s="5">
        <f>[1]!BTC_data[[#This Row],[high]]-[1]!BTC_data[[#This Row],[low]]</f>
        <v>183</v>
      </c>
      <c r="I122" s="6">
        <f>[1]!BTC_data[[#This Row],[CandleRange]]/[1]!BTC_data[[#This Row],[open]]</f>
        <v>1.9622665787399677E-3</v>
      </c>
      <c r="J122" s="7">
        <f>ABS([1]!BTC_data[[#This Row],[open]]-[1]!BTC_data[[#This Row],[close]])</f>
        <v>84.5</v>
      </c>
      <c r="K122" s="6">
        <f>[1]!BTC_data[[#This Row],[CandleBody]]/[1]!BTC_data[[#This Row],[open]]</f>
        <v>9.0607391204113258E-4</v>
      </c>
      <c r="L122" s="8">
        <f>IF([1]!BTC_data[[#This Row],[CandleRange]]&gt;0,([1]!BTC_data[[#This Row],[close]]-[1]!BTC_data[[#This Row],[low]])/[1]!BTC_data[[#This Row],[CandleRange]],"")</f>
        <v>0.77322404371584696</v>
      </c>
      <c r="M122" s="8">
        <f>IF([1]!BTC_data[[#This Row],[quote_volume]]&gt;0,[1]!BTC_data[[#This Row],[taker_buy_quote_volume]]/[1]!BTC_data[[#This Row],[quote_volume]],"")</f>
        <v>0.63063180062159163</v>
      </c>
      <c r="N122" t="str" cm="1">
        <f t="array" ref="N122">_xlfn.IFS([1]!BTC_data[[#This Row],[open]]-[1]!BTC_data[[#This Row],[close]]&gt;0,"Bearish",[1]!BTC_data[[#This Row],[open]]-[1]!BTC_data[[#This Row],[close]]&lt;0,"Bullish",TRUE,"Neutral")</f>
        <v>Bullish</v>
      </c>
      <c r="O122" s="8">
        <f>IF([1]!BTC_data[[#This Row],[CandleRange]]&gt;0,[1]!BTC_data[[#This Row],[CandleBody]]/[1]!BTC_data[[#This Row],[CandleRange]],"")</f>
        <v>0.46174863387978143</v>
      </c>
      <c r="P122" s="9" t="str" cm="1">
        <f t="array" ref="P122">_xlfn.IFS([1]!BTC_data[[#This Row],[BodyToRangeRatio]]&gt;=0.7,"Directional",[1]!BTC_data[[#This Row],[BodyToRangeRatio]]&lt;=0.3,"Indecision",TRUE,"Mixed")</f>
        <v>Mixed</v>
      </c>
      <c r="Q122" s="9" t="str" cm="1">
        <f t="array" ref="Q122">_xlfn.IFS([1]!BTC_data[[#This Row],[HourUTC]]&lt;8,"Asia",[1]!BTC_data[[#This Row],[HourUTC]]&lt;13,"London",[1]!BTC_data[[#This Row],[HourUTC]]&lt;21,"New York",TRUE,"AfterHours")</f>
        <v>London</v>
      </c>
    </row>
    <row r="123" spans="1:17" x14ac:dyDescent="0.3">
      <c r="A123" s="10">
        <v>93289.4</v>
      </c>
      <c r="B123" s="10">
        <v>93289.4</v>
      </c>
      <c r="C123" s="10">
        <v>39469</v>
      </c>
      <c r="D123" s="10">
        <v>42.288716899999997</v>
      </c>
      <c r="E123" s="10">
        <v>577</v>
      </c>
      <c r="F123" s="10">
        <v>12420</v>
      </c>
      <c r="G123" s="10">
        <v>13.306158229999999</v>
      </c>
      <c r="H123" s="10">
        <f>[1]!BTC_data[[#This Row],[high]]-[1]!BTC_data[[#This Row],[low]]</f>
        <v>91.5</v>
      </c>
      <c r="I123" s="11">
        <f>[1]!BTC_data[[#This Row],[CandleRange]]/[1]!BTC_data[[#This Row],[open]]</f>
        <v>9.8024406470253599E-4</v>
      </c>
      <c r="J123" s="12">
        <f>ABS([1]!BTC_data[[#This Row],[open]]-[1]!BTC_data[[#This Row],[close]])</f>
        <v>54.700000000011642</v>
      </c>
      <c r="K123" s="11">
        <f>[1]!BTC_data[[#This Row],[CandleBody]]/[1]!BTC_data[[#This Row],[open]]</f>
        <v>5.8600382884415442E-4</v>
      </c>
      <c r="L123" s="13">
        <f>IF([1]!BTC_data[[#This Row],[CandleRange]]&gt;0,([1]!BTC_data[[#This Row],[close]]-[1]!BTC_data[[#This Row],[low]])/[1]!BTC_data[[#This Row],[CandleRange]],"")</f>
        <v>0</v>
      </c>
      <c r="M123" s="13">
        <f>IF([1]!BTC_data[[#This Row],[quote_volume]]&gt;0,[1]!BTC_data[[#This Row],[taker_buy_quote_volume]]/[1]!BTC_data[[#This Row],[quote_volume]],"")</f>
        <v>0.31465031822708245</v>
      </c>
      <c r="N123" t="str" cm="1">
        <f t="array" ref="N123">_xlfn.IFS([1]!BTC_data[[#This Row],[open]]-[1]!BTC_data[[#This Row],[close]]&gt;0,"Bearish",[1]!BTC_data[[#This Row],[open]]-[1]!BTC_data[[#This Row],[close]]&lt;0,"Bullish",TRUE,"Neutral")</f>
        <v>Bearish</v>
      </c>
      <c r="O123" s="13">
        <f>IF([1]!BTC_data[[#This Row],[CandleRange]]&gt;0,[1]!BTC_data[[#This Row],[CandleBody]]/[1]!BTC_data[[#This Row],[CandleRange]],"")</f>
        <v>0.5978142076504005</v>
      </c>
      <c r="P123" s="9" t="str" cm="1">
        <f t="array" ref="P123">_xlfn.IFS([1]!BTC_data[[#This Row],[BodyToRangeRatio]]&gt;=0.7,"Directional",[1]!BTC_data[[#This Row],[BodyToRangeRatio]]&lt;=0.3,"Indecision",TRUE,"Mixed")</f>
        <v>Mixed</v>
      </c>
      <c r="Q123" s="9" t="str" cm="1">
        <f t="array" ref="Q123">_xlfn.IFS([1]!BTC_data[[#This Row],[HourUTC]]&lt;8,"Asia",[1]!BTC_data[[#This Row],[HourUTC]]&lt;13,"London",[1]!BTC_data[[#This Row],[HourUTC]]&lt;21,"New York",TRUE,"AfterHours")</f>
        <v>London</v>
      </c>
    </row>
    <row r="124" spans="1:17" x14ac:dyDescent="0.3">
      <c r="A124" s="5">
        <v>93212</v>
      </c>
      <c r="B124" s="5">
        <v>93229.9</v>
      </c>
      <c r="C124" s="5">
        <v>18842</v>
      </c>
      <c r="D124" s="5">
        <v>20.204213150000001</v>
      </c>
      <c r="E124" s="5">
        <v>474</v>
      </c>
      <c r="F124" s="5">
        <v>12603</v>
      </c>
      <c r="G124" s="5">
        <v>13.51477794</v>
      </c>
      <c r="H124" s="5">
        <f>[1]!BTC_data[[#This Row],[high]]-[1]!BTC_data[[#This Row],[low]]</f>
        <v>83.30000000000291</v>
      </c>
      <c r="I124" s="6">
        <f>[1]!BTC_data[[#This Row],[CandleRange]]/[1]!BTC_data[[#This Row],[open]]</f>
        <v>8.9291935319626438E-4</v>
      </c>
      <c r="J124" s="7">
        <f>ABS([1]!BTC_data[[#This Row],[open]]-[1]!BTC_data[[#This Row],[close]])</f>
        <v>59.600000000005821</v>
      </c>
      <c r="K124" s="6">
        <f>[1]!BTC_data[[#This Row],[CandleBody]]/[1]!BTC_data[[#This Row],[open]]</f>
        <v>6.3887146999400601E-4</v>
      </c>
      <c r="L124" s="8">
        <f>IF([1]!BTC_data[[#This Row],[CandleRange]]&gt;0,([1]!BTC_data[[#This Row],[close]]-[1]!BTC_data[[#This Row],[low]])/[1]!BTC_data[[#This Row],[CandleRange]],"")</f>
        <v>0.21488595438167532</v>
      </c>
      <c r="M124" s="8">
        <f>IF([1]!BTC_data[[#This Row],[quote_volume]]&gt;0,[1]!BTC_data[[#This Row],[taker_buy_quote_volume]]/[1]!BTC_data[[#This Row],[quote_volume]],"")</f>
        <v>0.66890889735045189</v>
      </c>
      <c r="N124" t="str" cm="1">
        <f t="array" ref="N124">_xlfn.IFS([1]!BTC_data[[#This Row],[open]]-[1]!BTC_data[[#This Row],[close]]&gt;0,"Bearish",[1]!BTC_data[[#This Row],[open]]-[1]!BTC_data[[#This Row],[close]]&lt;0,"Bullish",TRUE,"Neutral")</f>
        <v>Bearish</v>
      </c>
      <c r="O124" s="8">
        <f>IF([1]!BTC_data[[#This Row],[CandleRange]]&gt;0,[1]!BTC_data[[#This Row],[CandleBody]]/[1]!BTC_data[[#This Row],[CandleRange]],"")</f>
        <v>0.71548619447783601</v>
      </c>
      <c r="P124" s="9" t="str" cm="1">
        <f t="array" ref="P124">_xlfn.IFS([1]!BTC_data[[#This Row],[BodyToRangeRatio]]&gt;=0.7,"Directional",[1]!BTC_data[[#This Row],[BodyToRangeRatio]]&lt;=0.3,"Indecision",TRUE,"Mixed")</f>
        <v>Directional</v>
      </c>
      <c r="Q124" s="9" t="str" cm="1">
        <f t="array" ref="Q124">_xlfn.IFS([1]!BTC_data[[#This Row],[HourUTC]]&lt;8,"Asia",[1]!BTC_data[[#This Row],[HourUTC]]&lt;13,"London",[1]!BTC_data[[#This Row],[HourUTC]]&lt;21,"New York",TRUE,"AfterHours")</f>
        <v>London</v>
      </c>
    </row>
    <row r="125" spans="1:17" x14ac:dyDescent="0.3">
      <c r="A125" s="10">
        <v>93229.9</v>
      </c>
      <c r="B125" s="10">
        <v>93375.6</v>
      </c>
      <c r="C125" s="10">
        <v>29801</v>
      </c>
      <c r="D125" s="10">
        <v>31.936759630000001</v>
      </c>
      <c r="E125" s="10">
        <v>445</v>
      </c>
      <c r="F125" s="10">
        <v>26887</v>
      </c>
      <c r="G125" s="10">
        <v>28.813065819999998</v>
      </c>
      <c r="H125" s="10">
        <f>[1]!BTC_data[[#This Row],[high]]-[1]!BTC_data[[#This Row],[low]]</f>
        <v>150</v>
      </c>
      <c r="I125" s="11">
        <f>[1]!BTC_data[[#This Row],[CandleRange]]/[1]!BTC_data[[#This Row],[open]]</f>
        <v>1.6089258918008066E-3</v>
      </c>
      <c r="J125" s="12">
        <f>ABS([1]!BTC_data[[#This Row],[open]]-[1]!BTC_data[[#This Row],[close]])</f>
        <v>145.70000000001164</v>
      </c>
      <c r="K125" s="11">
        <f>[1]!BTC_data[[#This Row],[CandleBody]]/[1]!BTC_data[[#This Row],[open]]</f>
        <v>1.5628033495693082E-3</v>
      </c>
      <c r="L125" s="13">
        <f>IF([1]!BTC_data[[#This Row],[CandleRange]]&gt;0,([1]!BTC_data[[#This Row],[close]]-[1]!BTC_data[[#This Row],[low]])/[1]!BTC_data[[#This Row],[CandleRange]],"")</f>
        <v>0.97133333333341099</v>
      </c>
      <c r="M125" s="13">
        <f>IF([1]!BTC_data[[#This Row],[quote_volume]]&gt;0,[1]!BTC_data[[#This Row],[taker_buy_quote_volume]]/[1]!BTC_data[[#This Row],[quote_volume]],"")</f>
        <v>0.9021912728094762</v>
      </c>
      <c r="N125" t="str" cm="1">
        <f t="array" ref="N125">_xlfn.IFS([1]!BTC_data[[#This Row],[open]]-[1]!BTC_data[[#This Row],[close]]&gt;0,"Bearish",[1]!BTC_data[[#This Row],[open]]-[1]!BTC_data[[#This Row],[close]]&lt;0,"Bullish",TRUE,"Neutral")</f>
        <v>Bullish</v>
      </c>
      <c r="O125" s="13">
        <f>IF([1]!BTC_data[[#This Row],[CandleRange]]&gt;0,[1]!BTC_data[[#This Row],[CandleBody]]/[1]!BTC_data[[#This Row],[CandleRange]],"")</f>
        <v>0.97133333333341099</v>
      </c>
      <c r="P125" s="9" t="str" cm="1">
        <f t="array" ref="P125">_xlfn.IFS([1]!BTC_data[[#This Row],[BodyToRangeRatio]]&gt;=0.7,"Directional",[1]!BTC_data[[#This Row],[BodyToRangeRatio]]&lt;=0.3,"Indecision",TRUE,"Mixed")</f>
        <v>Directional</v>
      </c>
      <c r="Q125" s="9" t="str" cm="1">
        <f t="array" ref="Q125">_xlfn.IFS([1]!BTC_data[[#This Row],[HourUTC]]&lt;8,"Asia",[1]!BTC_data[[#This Row],[HourUTC]]&lt;13,"London",[1]!BTC_data[[#This Row],[HourUTC]]&lt;21,"New York",TRUE,"AfterHours")</f>
        <v>London</v>
      </c>
    </row>
    <row r="126" spans="1:17" x14ac:dyDescent="0.3">
      <c r="A126" s="5">
        <v>93338.6</v>
      </c>
      <c r="B126" s="5">
        <v>93358.2</v>
      </c>
      <c r="C126" s="5">
        <v>47576</v>
      </c>
      <c r="D126" s="5">
        <v>50.956680939999998</v>
      </c>
      <c r="E126" s="5">
        <v>524</v>
      </c>
      <c r="F126" s="5">
        <v>24026</v>
      </c>
      <c r="G126" s="5">
        <v>25.736367139999999</v>
      </c>
      <c r="H126" s="5">
        <f>[1]!BTC_data[[#This Row],[high]]-[1]!BTC_data[[#This Row],[low]]</f>
        <v>55.19999999999709</v>
      </c>
      <c r="I126" s="6">
        <f>[1]!BTC_data[[#This Row],[CandleRange]]/[1]!BTC_data[[#This Row],[open]]</f>
        <v>5.911608600105069E-4</v>
      </c>
      <c r="J126" s="7">
        <f>ABS([1]!BTC_data[[#This Row],[open]]-[1]!BTC_data[[#This Row],[close]])</f>
        <v>17.400000000008731</v>
      </c>
      <c r="K126" s="6">
        <f>[1]!BTC_data[[#This Row],[CandleBody]]/[1]!BTC_data[[#This Row],[open]]</f>
        <v>1.8634418413385006E-4</v>
      </c>
      <c r="L126" s="8">
        <f>IF([1]!BTC_data[[#This Row],[CandleRange]]&gt;0,([1]!BTC_data[[#This Row],[close]]-[1]!BTC_data[[#This Row],[low]])/[1]!BTC_data[[#This Row],[CandleRange]],"")</f>
        <v>0.35507246376797647</v>
      </c>
      <c r="M126" s="8">
        <f>IF([1]!BTC_data[[#This Row],[quote_volume]]&gt;0,[1]!BTC_data[[#This Row],[taker_buy_quote_volume]]/[1]!BTC_data[[#This Row],[quote_volume]],"")</f>
        <v>0.50506364749901622</v>
      </c>
      <c r="N126" t="str" cm="1">
        <f t="array" ref="N126">_xlfn.IFS([1]!BTC_data[[#This Row],[open]]-[1]!BTC_data[[#This Row],[close]]&gt;0,"Bearish",[1]!BTC_data[[#This Row],[open]]-[1]!BTC_data[[#This Row],[close]]&lt;0,"Bullish",TRUE,"Neutral")</f>
        <v>Bearish</v>
      </c>
      <c r="O126" s="8">
        <f>IF([1]!BTC_data[[#This Row],[CandleRange]]&gt;0,[1]!BTC_data[[#This Row],[CandleBody]]/[1]!BTC_data[[#This Row],[CandleRange]],"")</f>
        <v>0.31521739130452264</v>
      </c>
      <c r="P126" s="9" t="str" cm="1">
        <f t="array" ref="P126">_xlfn.IFS([1]!BTC_data[[#This Row],[BodyToRangeRatio]]&gt;=0.7,"Directional",[1]!BTC_data[[#This Row],[BodyToRangeRatio]]&lt;=0.3,"Indecision",TRUE,"Mixed")</f>
        <v>Mixed</v>
      </c>
      <c r="Q126" s="9" t="str" cm="1">
        <f t="array" ref="Q126">_xlfn.IFS([1]!BTC_data[[#This Row],[HourUTC]]&lt;8,"Asia",[1]!BTC_data[[#This Row],[HourUTC]]&lt;13,"London",[1]!BTC_data[[#This Row],[HourUTC]]&lt;21,"New York",TRUE,"AfterHours")</f>
        <v>London</v>
      </c>
    </row>
    <row r="127" spans="1:17" x14ac:dyDescent="0.3">
      <c r="A127" s="10">
        <v>93256</v>
      </c>
      <c r="B127" s="10">
        <v>93256</v>
      </c>
      <c r="C127" s="10">
        <v>48829</v>
      </c>
      <c r="D127" s="10">
        <v>52.33144034</v>
      </c>
      <c r="E127" s="10">
        <v>534</v>
      </c>
      <c r="F127" s="10">
        <v>10122</v>
      </c>
      <c r="G127" s="10">
        <v>10.84815927</v>
      </c>
      <c r="H127" s="10">
        <f>[1]!BTC_data[[#This Row],[high]]-[1]!BTC_data[[#This Row],[low]]</f>
        <v>110</v>
      </c>
      <c r="I127" s="11">
        <f>[1]!BTC_data[[#This Row],[CandleRange]]/[1]!BTC_data[[#This Row],[open]]</f>
        <v>1.178257507107035E-3</v>
      </c>
      <c r="J127" s="12">
        <f>ABS([1]!BTC_data[[#This Row],[open]]-[1]!BTC_data[[#This Row],[close]])</f>
        <v>102.19999999999709</v>
      </c>
      <c r="K127" s="11">
        <f>[1]!BTC_data[[#This Row],[CandleBody]]/[1]!BTC_data[[#This Row],[open]]</f>
        <v>1.0947083384212322E-3</v>
      </c>
      <c r="L127" s="13">
        <f>IF([1]!BTC_data[[#This Row],[CandleRange]]&gt;0,([1]!BTC_data[[#This Row],[close]]-[1]!BTC_data[[#This Row],[low]])/[1]!BTC_data[[#This Row],[CandleRange]],"")</f>
        <v>0</v>
      </c>
      <c r="M127" s="13">
        <f>IF([1]!BTC_data[[#This Row],[quote_volume]]&gt;0,[1]!BTC_data[[#This Row],[taker_buy_quote_volume]]/[1]!BTC_data[[#This Row],[quote_volume]],"")</f>
        <v>0.20729716590101407</v>
      </c>
      <c r="N127" t="str" cm="1">
        <f t="array" ref="N127">_xlfn.IFS([1]!BTC_data[[#This Row],[open]]-[1]!BTC_data[[#This Row],[close]]&gt;0,"Bearish",[1]!BTC_data[[#This Row],[open]]-[1]!BTC_data[[#This Row],[close]]&lt;0,"Bullish",TRUE,"Neutral")</f>
        <v>Bearish</v>
      </c>
      <c r="O127" s="13">
        <f>IF([1]!BTC_data[[#This Row],[CandleRange]]&gt;0,[1]!BTC_data[[#This Row],[CandleBody]]/[1]!BTC_data[[#This Row],[CandleRange]],"")</f>
        <v>0.92909090909088266</v>
      </c>
      <c r="P127" s="9" t="str" cm="1">
        <f t="array" ref="P127">_xlfn.IFS([1]!BTC_data[[#This Row],[BodyToRangeRatio]]&gt;=0.7,"Directional",[1]!BTC_data[[#This Row],[BodyToRangeRatio]]&lt;=0.3,"Indecision",TRUE,"Mixed")</f>
        <v>Directional</v>
      </c>
      <c r="Q127" s="9" t="str" cm="1">
        <f t="array" ref="Q127">_xlfn.IFS([1]!BTC_data[[#This Row],[HourUTC]]&lt;8,"Asia",[1]!BTC_data[[#This Row],[HourUTC]]&lt;13,"London",[1]!BTC_data[[#This Row],[HourUTC]]&lt;21,"New York",TRUE,"AfterHours")</f>
        <v>London</v>
      </c>
    </row>
    <row r="128" spans="1:17" x14ac:dyDescent="0.3">
      <c r="A128" s="5">
        <v>93246.7</v>
      </c>
      <c r="B128" s="5">
        <v>93252</v>
      </c>
      <c r="C128" s="5">
        <v>32146</v>
      </c>
      <c r="D128" s="5">
        <v>34.453200170000002</v>
      </c>
      <c r="E128" s="5">
        <v>421</v>
      </c>
      <c r="F128" s="5">
        <v>9796</v>
      </c>
      <c r="G128" s="5">
        <v>10.49878599</v>
      </c>
      <c r="H128" s="5">
        <f>[1]!BTC_data[[#This Row],[high]]-[1]!BTC_data[[#This Row],[low]]</f>
        <v>114.10000000000582</v>
      </c>
      <c r="I128" s="6">
        <f>[1]!BTC_data[[#This Row],[CandleRange]]/[1]!BTC_data[[#This Row],[open]]</f>
        <v>1.2235452572340994E-3</v>
      </c>
      <c r="J128" s="7">
        <f>ABS([1]!BTC_data[[#This Row],[open]]-[1]!BTC_data[[#This Row],[close]])</f>
        <v>1.6000000000058208</v>
      </c>
      <c r="K128" s="6">
        <f>[1]!BTC_data[[#This Row],[CandleBody]]/[1]!BTC_data[[#This Row],[open]]</f>
        <v>1.7157514562502903E-5</v>
      </c>
      <c r="L128" s="8">
        <f>IF([1]!BTC_data[[#This Row],[CandleRange]]&gt;0,([1]!BTC_data[[#This Row],[close]]-[1]!BTC_data[[#This Row],[low]])/[1]!BTC_data[[#This Row],[CandleRange]],"")</f>
        <v>4.6450482033327259E-2</v>
      </c>
      <c r="M128" s="8">
        <f>IF([1]!BTC_data[[#This Row],[quote_volume]]&gt;0,[1]!BTC_data[[#This Row],[taker_buy_quote_volume]]/[1]!BTC_data[[#This Row],[quote_volume]],"")</f>
        <v>0.3047260033377619</v>
      </c>
      <c r="N128" t="str" cm="1">
        <f t="array" ref="N128">_xlfn.IFS([1]!BTC_data[[#This Row],[open]]-[1]!BTC_data[[#This Row],[close]]&gt;0,"Bearish",[1]!BTC_data[[#This Row],[open]]-[1]!BTC_data[[#This Row],[close]]&lt;0,"Bullish",TRUE,"Neutral")</f>
        <v>Bearish</v>
      </c>
      <c r="O128" s="8">
        <f>IF([1]!BTC_data[[#This Row],[CandleRange]]&gt;0,[1]!BTC_data[[#This Row],[CandleBody]]/[1]!BTC_data[[#This Row],[CandleRange]],"")</f>
        <v>1.4022787028972297E-2</v>
      </c>
      <c r="P128" s="9" t="str" cm="1">
        <f t="array" ref="P128">_xlfn.IFS([1]!BTC_data[[#This Row],[BodyToRangeRatio]]&gt;=0.7,"Directional",[1]!BTC_data[[#This Row],[BodyToRangeRatio]]&lt;=0.3,"Indecision",TRUE,"Mixed")</f>
        <v>Indecision</v>
      </c>
      <c r="Q128" s="9" t="str" cm="1">
        <f t="array" ref="Q128">_xlfn.IFS([1]!BTC_data[[#This Row],[HourUTC]]&lt;8,"Asia",[1]!BTC_data[[#This Row],[HourUTC]]&lt;13,"London",[1]!BTC_data[[#This Row],[HourUTC]]&lt;21,"New York",TRUE,"AfterHours")</f>
        <v>London</v>
      </c>
    </row>
    <row r="129" spans="1:17" x14ac:dyDescent="0.3">
      <c r="A129" s="10">
        <v>93211</v>
      </c>
      <c r="B129" s="10">
        <v>93229.1</v>
      </c>
      <c r="C129" s="10">
        <v>23760</v>
      </c>
      <c r="D129" s="10">
        <v>25.47982296</v>
      </c>
      <c r="E129" s="10">
        <v>391</v>
      </c>
      <c r="F129" s="10">
        <v>15456</v>
      </c>
      <c r="G129" s="10">
        <v>16.574504409999999</v>
      </c>
      <c r="H129" s="10">
        <f>[1]!BTC_data[[#This Row],[high]]-[1]!BTC_data[[#This Row],[low]]</f>
        <v>69.899999999994179</v>
      </c>
      <c r="I129" s="11">
        <f>[1]!BTC_data[[#This Row],[CandleRange]]/[1]!BTC_data[[#This Row],[open]]</f>
        <v>7.4958177840683501E-4</v>
      </c>
      <c r="J129" s="12">
        <f>ABS([1]!BTC_data[[#This Row],[open]]-[1]!BTC_data[[#This Row],[close]])</f>
        <v>22.899999999994179</v>
      </c>
      <c r="K129" s="11">
        <f>[1]!BTC_data[[#This Row],[CandleBody]]/[1]!BTC_data[[#This Row],[open]]</f>
        <v>2.4557114056528737E-4</v>
      </c>
      <c r="L129" s="13">
        <f>IF([1]!BTC_data[[#This Row],[CandleRange]]&gt;0,([1]!BTC_data[[#This Row],[close]]-[1]!BTC_data[[#This Row],[low]])/[1]!BTC_data[[#This Row],[CandleRange]],"")</f>
        <v>0.25894134477835951</v>
      </c>
      <c r="M129" s="13">
        <f>IF([1]!BTC_data[[#This Row],[quote_volume]]&gt;0,[1]!BTC_data[[#This Row],[taker_buy_quote_volume]]/[1]!BTC_data[[#This Row],[quote_volume]],"")</f>
        <v>0.65049527369243543</v>
      </c>
      <c r="N129" t="str" cm="1">
        <f t="array" ref="N129">_xlfn.IFS([1]!BTC_data[[#This Row],[open]]-[1]!BTC_data[[#This Row],[close]]&gt;0,"Bearish",[1]!BTC_data[[#This Row],[open]]-[1]!BTC_data[[#This Row],[close]]&lt;0,"Bullish",TRUE,"Neutral")</f>
        <v>Bearish</v>
      </c>
      <c r="O129" s="13">
        <f>IF([1]!BTC_data[[#This Row],[CandleRange]]&gt;0,[1]!BTC_data[[#This Row],[CandleBody]]/[1]!BTC_data[[#This Row],[CandleRange]],"")</f>
        <v>0.32761087267519434</v>
      </c>
      <c r="P129" s="9" t="str" cm="1">
        <f t="array" ref="P129">_xlfn.IFS([1]!BTC_data[[#This Row],[BodyToRangeRatio]]&gt;=0.7,"Directional",[1]!BTC_data[[#This Row],[BodyToRangeRatio]]&lt;=0.3,"Indecision",TRUE,"Mixed")</f>
        <v>Mixed</v>
      </c>
      <c r="Q129" s="9" t="str" cm="1">
        <f t="array" ref="Q129">_xlfn.IFS([1]!BTC_data[[#This Row],[HourUTC]]&lt;8,"Asia",[1]!BTC_data[[#This Row],[HourUTC]]&lt;13,"London",[1]!BTC_data[[#This Row],[HourUTC]]&lt;21,"New York",TRUE,"AfterHours")</f>
        <v>London</v>
      </c>
    </row>
    <row r="130" spans="1:17" x14ac:dyDescent="0.3">
      <c r="A130" s="5">
        <v>93131.5</v>
      </c>
      <c r="B130" s="5">
        <v>93243.199999999997</v>
      </c>
      <c r="C130" s="5">
        <v>19802</v>
      </c>
      <c r="D130" s="5">
        <v>21.243699419999999</v>
      </c>
      <c r="E130" s="5">
        <v>523</v>
      </c>
      <c r="F130" s="5">
        <v>11476</v>
      </c>
      <c r="G130" s="5">
        <v>12.31116999</v>
      </c>
      <c r="H130" s="5">
        <f>[1]!BTC_data[[#This Row],[high]]-[1]!BTC_data[[#This Row],[low]]</f>
        <v>143.5</v>
      </c>
      <c r="I130" s="6">
        <f>[1]!BTC_data[[#This Row],[CandleRange]]/[1]!BTC_data[[#This Row],[open]]</f>
        <v>1.5392189777655258E-3</v>
      </c>
      <c r="J130" s="7">
        <f>ABS([1]!BTC_data[[#This Row],[open]]-[1]!BTC_data[[#This Row],[close]])</f>
        <v>14.099999999991269</v>
      </c>
      <c r="K130" s="6">
        <f>[1]!BTC_data[[#This Row],[CandleBody]]/[1]!BTC_data[[#This Row],[open]]</f>
        <v>1.5124033161310438E-4</v>
      </c>
      <c r="L130" s="8">
        <f>IF([1]!BTC_data[[#This Row],[CandleRange]]&gt;0,([1]!BTC_data[[#This Row],[close]]-[1]!BTC_data[[#This Row],[low]])/[1]!BTC_data[[#This Row],[CandleRange]],"")</f>
        <v>0.77839721254353378</v>
      </c>
      <c r="M130" s="8">
        <f>IF([1]!BTC_data[[#This Row],[quote_volume]]&gt;0,[1]!BTC_data[[#This Row],[taker_buy_quote_volume]]/[1]!BTC_data[[#This Row],[quote_volume]],"")</f>
        <v>0.57952100275009444</v>
      </c>
      <c r="N130" t="str" cm="1">
        <f t="array" ref="N130">_xlfn.IFS([1]!BTC_data[[#This Row],[open]]-[1]!BTC_data[[#This Row],[close]]&gt;0,"Bearish",[1]!BTC_data[[#This Row],[open]]-[1]!BTC_data[[#This Row],[close]]&lt;0,"Bullish",TRUE,"Neutral")</f>
        <v>Bullish</v>
      </c>
      <c r="O130" s="8">
        <f>IF([1]!BTC_data[[#This Row],[CandleRange]]&gt;0,[1]!BTC_data[[#This Row],[CandleBody]]/[1]!BTC_data[[#This Row],[CandleRange]],"")</f>
        <v>9.8257839721193507E-2</v>
      </c>
      <c r="P130" s="9" t="str" cm="1">
        <f t="array" ref="P130">_xlfn.IFS([1]!BTC_data[[#This Row],[BodyToRangeRatio]]&gt;=0.7,"Directional",[1]!BTC_data[[#This Row],[BodyToRangeRatio]]&lt;=0.3,"Indecision",TRUE,"Mixed")</f>
        <v>Indecision</v>
      </c>
      <c r="Q130" s="9" t="str" cm="1">
        <f t="array" ref="Q130">_xlfn.IFS([1]!BTC_data[[#This Row],[HourUTC]]&lt;8,"Asia",[1]!BTC_data[[#This Row],[HourUTC]]&lt;13,"London",[1]!BTC_data[[#This Row],[HourUTC]]&lt;21,"New York",TRUE,"AfterHours")</f>
        <v>London</v>
      </c>
    </row>
    <row r="131" spans="1:17" x14ac:dyDescent="0.3">
      <c r="A131" s="10">
        <v>93199.4</v>
      </c>
      <c r="B131" s="10">
        <v>93222.7</v>
      </c>
      <c r="C131" s="10">
        <v>15576</v>
      </c>
      <c r="D131" s="10">
        <v>16.702274419999998</v>
      </c>
      <c r="E131" s="10">
        <v>295</v>
      </c>
      <c r="F131" s="10">
        <v>7076</v>
      </c>
      <c r="G131" s="10">
        <v>7.5890772200000001</v>
      </c>
      <c r="H131" s="10">
        <f>[1]!BTC_data[[#This Row],[high]]-[1]!BTC_data[[#This Row],[low]]</f>
        <v>80.600000000005821</v>
      </c>
      <c r="I131" s="11">
        <f>[1]!BTC_data[[#This Row],[CandleRange]]/[1]!BTC_data[[#This Row],[open]]</f>
        <v>8.6440527094178154E-4</v>
      </c>
      <c r="J131" s="12">
        <f>ABS([1]!BTC_data[[#This Row],[open]]-[1]!BTC_data[[#This Row],[close]])</f>
        <v>20.600000000005821</v>
      </c>
      <c r="K131" s="11">
        <f>[1]!BTC_data[[#This Row],[CandleBody]]/[1]!BTC_data[[#This Row],[open]]</f>
        <v>2.2092740175439759E-4</v>
      </c>
      <c r="L131" s="13">
        <f>IF([1]!BTC_data[[#This Row],[CandleRange]]&gt;0,([1]!BTC_data[[#This Row],[close]]-[1]!BTC_data[[#This Row],[low]])/[1]!BTC_data[[#This Row],[CandleRange]],"")</f>
        <v>0.28908188585609462</v>
      </c>
      <c r="M131" s="13">
        <f>IF([1]!BTC_data[[#This Row],[quote_volume]]&gt;0,[1]!BTC_data[[#This Row],[taker_buy_quote_volume]]/[1]!BTC_data[[#This Row],[quote_volume]],"")</f>
        <v>0.45437387921925909</v>
      </c>
      <c r="N131" t="str" cm="1">
        <f t="array" ref="N131">_xlfn.IFS([1]!BTC_data[[#This Row],[open]]-[1]!BTC_data[[#This Row],[close]]&gt;0,"Bearish",[1]!BTC_data[[#This Row],[open]]-[1]!BTC_data[[#This Row],[close]]&lt;0,"Bullish",TRUE,"Neutral")</f>
        <v>Bearish</v>
      </c>
      <c r="O131" s="13">
        <f>IF([1]!BTC_data[[#This Row],[CandleRange]]&gt;0,[1]!BTC_data[[#This Row],[CandleBody]]/[1]!BTC_data[[#This Row],[CandleRange]],"")</f>
        <v>0.25558312655092225</v>
      </c>
      <c r="P131" s="9" t="str" cm="1">
        <f t="array" ref="P131">_xlfn.IFS([1]!BTC_data[[#This Row],[BodyToRangeRatio]]&gt;=0.7,"Directional",[1]!BTC_data[[#This Row],[BodyToRangeRatio]]&lt;=0.3,"Indecision",TRUE,"Mixed")</f>
        <v>Indecision</v>
      </c>
      <c r="Q131" s="9" t="str" cm="1">
        <f t="array" ref="Q131">_xlfn.IFS([1]!BTC_data[[#This Row],[HourUTC]]&lt;8,"Asia",[1]!BTC_data[[#This Row],[HourUTC]]&lt;13,"London",[1]!BTC_data[[#This Row],[HourUTC]]&lt;21,"New York",TRUE,"AfterHours")</f>
        <v>London</v>
      </c>
    </row>
    <row r="132" spans="1:17" x14ac:dyDescent="0.3">
      <c r="A132" s="5">
        <v>93163.6</v>
      </c>
      <c r="B132" s="5">
        <v>93172.1</v>
      </c>
      <c r="C132" s="5">
        <v>10612</v>
      </c>
      <c r="D132" s="5">
        <v>11.38947918</v>
      </c>
      <c r="E132" s="5">
        <v>256</v>
      </c>
      <c r="F132" s="5">
        <v>2050</v>
      </c>
      <c r="G132" s="5">
        <v>2.2002401200000001</v>
      </c>
      <c r="H132" s="5">
        <f>[1]!BTC_data[[#This Row],[high]]-[1]!BTC_data[[#This Row],[low]]</f>
        <v>56.399999999994179</v>
      </c>
      <c r="I132" s="6">
        <f>[1]!BTC_data[[#This Row],[CandleRange]]/[1]!BTC_data[[#This Row],[open]]</f>
        <v>6.0502038189223534E-4</v>
      </c>
      <c r="J132" s="7">
        <f>ABS([1]!BTC_data[[#This Row],[open]]-[1]!BTC_data[[#This Row],[close]])</f>
        <v>47.899999999994179</v>
      </c>
      <c r="K132" s="6">
        <f>[1]!BTC_data[[#This Row],[CandleBody]]/[1]!BTC_data[[#This Row],[open]]</f>
        <v>5.1383823213896351E-4</v>
      </c>
      <c r="L132" s="8">
        <f>IF([1]!BTC_data[[#This Row],[CandleRange]]&gt;0,([1]!BTC_data[[#This Row],[close]]-[1]!BTC_data[[#This Row],[low]])/[1]!BTC_data[[#This Row],[CandleRange]],"")</f>
        <v>0.15070921985817159</v>
      </c>
      <c r="M132" s="8">
        <f>IF([1]!BTC_data[[#This Row],[quote_volume]]&gt;0,[1]!BTC_data[[#This Row],[taker_buy_quote_volume]]/[1]!BTC_data[[#This Row],[quote_volume]],"")</f>
        <v>0.19318180271698782</v>
      </c>
      <c r="N132" t="str" cm="1">
        <f t="array" ref="N132">_xlfn.IFS([1]!BTC_data[[#This Row],[open]]-[1]!BTC_data[[#This Row],[close]]&gt;0,"Bearish",[1]!BTC_data[[#This Row],[open]]-[1]!BTC_data[[#This Row],[close]]&lt;0,"Bullish",TRUE,"Neutral")</f>
        <v>Bearish</v>
      </c>
      <c r="O132" s="8">
        <f>IF([1]!BTC_data[[#This Row],[CandleRange]]&gt;0,[1]!BTC_data[[#This Row],[CandleBody]]/[1]!BTC_data[[#This Row],[CandleRange]],"")</f>
        <v>0.84929078014182846</v>
      </c>
      <c r="P132" s="9" t="str" cm="1">
        <f t="array" ref="P132">_xlfn.IFS([1]!BTC_data[[#This Row],[BodyToRangeRatio]]&gt;=0.7,"Directional",[1]!BTC_data[[#This Row],[BodyToRangeRatio]]&lt;=0.3,"Indecision",TRUE,"Mixed")</f>
        <v>Directional</v>
      </c>
      <c r="Q132" s="9" t="str" cm="1">
        <f t="array" ref="Q132">_xlfn.IFS([1]!BTC_data[[#This Row],[HourUTC]]&lt;8,"Asia",[1]!BTC_data[[#This Row],[HourUTC]]&lt;13,"London",[1]!BTC_data[[#This Row],[HourUTC]]&lt;21,"New York",TRUE,"AfterHours")</f>
        <v>London</v>
      </c>
    </row>
    <row r="133" spans="1:17" x14ac:dyDescent="0.3">
      <c r="A133" s="10">
        <v>93149.8</v>
      </c>
      <c r="B133" s="10">
        <v>93189</v>
      </c>
      <c r="C133" s="10">
        <v>18520</v>
      </c>
      <c r="D133" s="10">
        <v>19.879914750000001</v>
      </c>
      <c r="E133" s="10">
        <v>302</v>
      </c>
      <c r="F133" s="10">
        <v>7695</v>
      </c>
      <c r="G133" s="10">
        <v>8.2599245299999993</v>
      </c>
      <c r="H133" s="10">
        <f>[1]!BTC_data[[#This Row],[high]]-[1]!BTC_data[[#This Row],[low]]</f>
        <v>47.69999999999709</v>
      </c>
      <c r="I133" s="11">
        <f>[1]!BTC_data[[#This Row],[CandleRange]]/[1]!BTC_data[[#This Row],[open]]</f>
        <v>5.1195583227164659E-4</v>
      </c>
      <c r="J133" s="12">
        <f>ABS([1]!BTC_data[[#This Row],[open]]-[1]!BTC_data[[#This Row],[close]])</f>
        <v>16.899999999994179</v>
      </c>
      <c r="K133" s="11">
        <f>[1]!BTC_data[[#This Row],[CandleBody]]/[1]!BTC_data[[#This Row],[open]]</f>
        <v>1.8138477076285904E-4</v>
      </c>
      <c r="L133" s="13">
        <f>IF([1]!BTC_data[[#This Row],[CandleRange]]&gt;0,([1]!BTC_data[[#This Row],[close]]-[1]!BTC_data[[#This Row],[low]])/[1]!BTC_data[[#This Row],[CandleRange]],"")</f>
        <v>0.8218029350104713</v>
      </c>
      <c r="M133" s="13">
        <f>IF([1]!BTC_data[[#This Row],[quote_volume]]&gt;0,[1]!BTC_data[[#This Row],[taker_buy_quote_volume]]/[1]!BTC_data[[#This Row],[quote_volume]],"")</f>
        <v>0.41549094318928098</v>
      </c>
      <c r="N133" t="str" cm="1">
        <f t="array" ref="N133">_xlfn.IFS([1]!BTC_data[[#This Row],[open]]-[1]!BTC_data[[#This Row],[close]]&gt;0,"Bearish",[1]!BTC_data[[#This Row],[open]]-[1]!BTC_data[[#This Row],[close]]&lt;0,"Bullish",TRUE,"Neutral")</f>
        <v>Bullish</v>
      </c>
      <c r="O133" s="13">
        <f>IF([1]!BTC_data[[#This Row],[CandleRange]]&gt;0,[1]!BTC_data[[#This Row],[CandleBody]]/[1]!BTC_data[[#This Row],[CandleRange]],"")</f>
        <v>0.35429769392023502</v>
      </c>
      <c r="P133" s="9" t="str" cm="1">
        <f t="array" ref="P133">_xlfn.IFS([1]!BTC_data[[#This Row],[BodyToRangeRatio]]&gt;=0.7,"Directional",[1]!BTC_data[[#This Row],[BodyToRangeRatio]]&lt;=0.3,"Indecision",TRUE,"Mixed")</f>
        <v>Mixed</v>
      </c>
      <c r="Q133" s="9" t="str" cm="1">
        <f t="array" ref="Q133">_xlfn.IFS([1]!BTC_data[[#This Row],[HourUTC]]&lt;8,"Asia",[1]!BTC_data[[#This Row],[HourUTC]]&lt;13,"London",[1]!BTC_data[[#This Row],[HourUTC]]&lt;21,"New York",TRUE,"AfterHours")</f>
        <v>London</v>
      </c>
    </row>
    <row r="134" spans="1:17" x14ac:dyDescent="0.3">
      <c r="A134" s="5">
        <v>93059.1</v>
      </c>
      <c r="B134" s="5">
        <v>93071.5</v>
      </c>
      <c r="C134" s="5">
        <v>47167</v>
      </c>
      <c r="D134" s="5">
        <v>50.641821460000003</v>
      </c>
      <c r="E134" s="5">
        <v>697</v>
      </c>
      <c r="F134" s="5">
        <v>9588</v>
      </c>
      <c r="G134" s="5">
        <v>10.29617288</v>
      </c>
      <c r="H134" s="5">
        <f>[1]!BTC_data[[#This Row],[high]]-[1]!BTC_data[[#This Row],[low]]</f>
        <v>151.09999999999127</v>
      </c>
      <c r="I134" s="6">
        <f>[1]!BTC_data[[#This Row],[CandleRange]]/[1]!BTC_data[[#This Row],[open]]</f>
        <v>1.621436006395511E-3</v>
      </c>
      <c r="J134" s="7">
        <f>ABS([1]!BTC_data[[#This Row],[open]]-[1]!BTC_data[[#This Row],[close]])</f>
        <v>117.5</v>
      </c>
      <c r="K134" s="6">
        <f>[1]!BTC_data[[#This Row],[CandleBody]]/[1]!BTC_data[[#This Row],[open]]</f>
        <v>1.2608784298576011E-3</v>
      </c>
      <c r="L134" s="8">
        <f>IF([1]!BTC_data[[#This Row],[CandleRange]]&gt;0,([1]!BTC_data[[#This Row],[close]]-[1]!BTC_data[[#This Row],[low]])/[1]!BTC_data[[#This Row],[CandleRange]],"")</f>
        <v>8.2064857710091962E-2</v>
      </c>
      <c r="M134" s="8">
        <f>IF([1]!BTC_data[[#This Row],[quote_volume]]&gt;0,[1]!BTC_data[[#This Row],[taker_buy_quote_volume]]/[1]!BTC_data[[#This Row],[quote_volume]],"")</f>
        <v>0.20331363649967735</v>
      </c>
      <c r="N134" t="str" cm="1">
        <f t="array" ref="N134">_xlfn.IFS([1]!BTC_data[[#This Row],[open]]-[1]!BTC_data[[#This Row],[close]]&gt;0,"Bearish",[1]!BTC_data[[#This Row],[open]]-[1]!BTC_data[[#This Row],[close]]&lt;0,"Bullish",TRUE,"Neutral")</f>
        <v>Bearish</v>
      </c>
      <c r="O134" s="8">
        <f>IF([1]!BTC_data[[#This Row],[CandleRange]]&gt;0,[1]!BTC_data[[#This Row],[CandleBody]]/[1]!BTC_data[[#This Row],[CandleRange]],"")</f>
        <v>0.7776307081403494</v>
      </c>
      <c r="P134" s="9" t="str" cm="1">
        <f t="array" ref="P134">_xlfn.IFS([1]!BTC_data[[#This Row],[BodyToRangeRatio]]&gt;=0.7,"Directional",[1]!BTC_data[[#This Row],[BodyToRangeRatio]]&lt;=0.3,"Indecision",TRUE,"Mixed")</f>
        <v>Directional</v>
      </c>
      <c r="Q134" s="9" t="str" cm="1">
        <f t="array" ref="Q134">_xlfn.IFS([1]!BTC_data[[#This Row],[HourUTC]]&lt;8,"Asia",[1]!BTC_data[[#This Row],[HourUTC]]&lt;13,"London",[1]!BTC_data[[#This Row],[HourUTC]]&lt;21,"New York",TRUE,"AfterHours")</f>
        <v>London</v>
      </c>
    </row>
    <row r="135" spans="1:17" x14ac:dyDescent="0.3">
      <c r="A135" s="10">
        <v>93054.5</v>
      </c>
      <c r="B135" s="10">
        <v>93207.3</v>
      </c>
      <c r="C135" s="10">
        <v>24461</v>
      </c>
      <c r="D135" s="10">
        <v>26.272052810000002</v>
      </c>
      <c r="E135" s="10">
        <v>565</v>
      </c>
      <c r="F135" s="10">
        <v>16106</v>
      </c>
      <c r="G135" s="10">
        <v>17.296894859999998</v>
      </c>
      <c r="H135" s="10">
        <f>[1]!BTC_data[[#This Row],[high]]-[1]!BTC_data[[#This Row],[low]]</f>
        <v>152.80000000000291</v>
      </c>
      <c r="I135" s="11">
        <f>[1]!BTC_data[[#This Row],[CandleRange]]/[1]!BTC_data[[#This Row],[open]]</f>
        <v>1.6417485481592421E-3</v>
      </c>
      <c r="J135" s="12">
        <f>ABS([1]!BTC_data[[#This Row],[open]]-[1]!BTC_data[[#This Row],[close]])</f>
        <v>135.80000000000291</v>
      </c>
      <c r="K135" s="11">
        <f>[1]!BTC_data[[#This Row],[CandleBody]]/[1]!BTC_data[[#This Row],[open]]</f>
        <v>1.4590932777488587E-3</v>
      </c>
      <c r="L135" s="13">
        <f>IF([1]!BTC_data[[#This Row],[CandleRange]]&gt;0,([1]!BTC_data[[#This Row],[close]]-[1]!BTC_data[[#This Row],[low]])/[1]!BTC_data[[#This Row],[CandleRange]],"")</f>
        <v>1</v>
      </c>
      <c r="M135" s="13">
        <f>IF([1]!BTC_data[[#This Row],[quote_volume]]&gt;0,[1]!BTC_data[[#This Row],[taker_buy_quote_volume]]/[1]!BTC_data[[#This Row],[quote_volume]],"")</f>
        <v>0.65837622149633601</v>
      </c>
      <c r="N135" t="str" cm="1">
        <f t="array" ref="N135">_xlfn.IFS([1]!BTC_data[[#This Row],[open]]-[1]!BTC_data[[#This Row],[close]]&gt;0,"Bearish",[1]!BTC_data[[#This Row],[open]]-[1]!BTC_data[[#This Row],[close]]&lt;0,"Bullish",TRUE,"Neutral")</f>
        <v>Bullish</v>
      </c>
      <c r="O135" s="13">
        <f>IF([1]!BTC_data[[#This Row],[CandleRange]]&gt;0,[1]!BTC_data[[#This Row],[CandleBody]]/[1]!BTC_data[[#This Row],[CandleRange]],"")</f>
        <v>0.88874345549738432</v>
      </c>
      <c r="P135" s="9" t="str" cm="1">
        <f t="array" ref="P135">_xlfn.IFS([1]!BTC_data[[#This Row],[BodyToRangeRatio]]&gt;=0.7,"Directional",[1]!BTC_data[[#This Row],[BodyToRangeRatio]]&lt;=0.3,"Indecision",TRUE,"Mixed")</f>
        <v>Directional</v>
      </c>
      <c r="Q135" s="9" t="str" cm="1">
        <f t="array" ref="Q135">_xlfn.IFS([1]!BTC_data[[#This Row],[HourUTC]]&lt;8,"Asia",[1]!BTC_data[[#This Row],[HourUTC]]&lt;13,"London",[1]!BTC_data[[#This Row],[HourUTC]]&lt;21,"New York",TRUE,"AfterHours")</f>
        <v>London</v>
      </c>
    </row>
    <row r="136" spans="1:17" x14ac:dyDescent="0.3">
      <c r="A136" s="5">
        <v>93165.1</v>
      </c>
      <c r="B136" s="5">
        <v>93186.3</v>
      </c>
      <c r="C136" s="5">
        <v>41869</v>
      </c>
      <c r="D136" s="5">
        <v>44.920857759999997</v>
      </c>
      <c r="E136" s="5">
        <v>373</v>
      </c>
      <c r="F136" s="5">
        <v>4818</v>
      </c>
      <c r="G136" s="5">
        <v>5.1696259800000002</v>
      </c>
      <c r="H136" s="5">
        <f>[1]!BTC_data[[#This Row],[high]]-[1]!BTC_data[[#This Row],[low]]</f>
        <v>71.599999999991269</v>
      </c>
      <c r="I136" s="6">
        <f>[1]!BTC_data[[#This Row],[CandleRange]]/[1]!BTC_data[[#This Row],[open]]</f>
        <v>7.6818017472870973E-4</v>
      </c>
      <c r="J136" s="7">
        <f>ABS([1]!BTC_data[[#This Row],[open]]-[1]!BTC_data[[#This Row],[close]])</f>
        <v>21</v>
      </c>
      <c r="K136" s="6">
        <f>[1]!BTC_data[[#This Row],[CandleBody]]/[1]!BTC_data[[#This Row],[open]]</f>
        <v>2.2530424119140881E-4</v>
      </c>
      <c r="L136" s="8">
        <f>IF([1]!BTC_data[[#This Row],[CandleRange]]&gt;0,([1]!BTC_data[[#This Row],[close]]-[1]!BTC_data[[#This Row],[low]])/[1]!BTC_data[[#This Row],[CandleRange]],"")</f>
        <v>0.2960893854748558</v>
      </c>
      <c r="M136" s="8">
        <f>IF([1]!BTC_data[[#This Row],[quote_volume]]&gt;0,[1]!BTC_data[[#This Row],[taker_buy_quote_volume]]/[1]!BTC_data[[#This Row],[quote_volume]],"")</f>
        <v>0.11508297565509355</v>
      </c>
      <c r="N136" t="str" cm="1">
        <f t="array" ref="N136">_xlfn.IFS([1]!BTC_data[[#This Row],[open]]-[1]!BTC_data[[#This Row],[close]]&gt;0,"Bearish",[1]!BTC_data[[#This Row],[open]]-[1]!BTC_data[[#This Row],[close]]&lt;0,"Bullish",TRUE,"Neutral")</f>
        <v>Bearish</v>
      </c>
      <c r="O136" s="8">
        <f>IF([1]!BTC_data[[#This Row],[CandleRange]]&gt;0,[1]!BTC_data[[#This Row],[CandleBody]]/[1]!BTC_data[[#This Row],[CandleRange]],"")</f>
        <v>0.29329608938551061</v>
      </c>
      <c r="P136" s="9" t="str" cm="1">
        <f t="array" ref="P136">_xlfn.IFS([1]!BTC_data[[#This Row],[BodyToRangeRatio]]&gt;=0.7,"Directional",[1]!BTC_data[[#This Row],[BodyToRangeRatio]]&lt;=0.3,"Indecision",TRUE,"Mixed")</f>
        <v>Indecision</v>
      </c>
      <c r="Q136" s="9" t="str" cm="1">
        <f t="array" ref="Q136">_xlfn.IFS([1]!BTC_data[[#This Row],[HourUTC]]&lt;8,"Asia",[1]!BTC_data[[#This Row],[HourUTC]]&lt;13,"London",[1]!BTC_data[[#This Row],[HourUTC]]&lt;21,"New York",TRUE,"AfterHours")</f>
        <v>London</v>
      </c>
    </row>
    <row r="137" spans="1:17" x14ac:dyDescent="0.3">
      <c r="A137" s="10">
        <v>93190.7</v>
      </c>
      <c r="B137" s="10">
        <v>93272</v>
      </c>
      <c r="C137" s="10">
        <v>35147</v>
      </c>
      <c r="D137" s="10">
        <v>37.683431120000002</v>
      </c>
      <c r="E137" s="10">
        <v>490</v>
      </c>
      <c r="F137" s="10">
        <v>32364</v>
      </c>
      <c r="G137" s="10">
        <v>34.699919899999998</v>
      </c>
      <c r="H137" s="10">
        <f>[1]!BTC_data[[#This Row],[high]]-[1]!BTC_data[[#This Row],[low]]</f>
        <v>142</v>
      </c>
      <c r="I137" s="11">
        <f>[1]!BTC_data[[#This Row],[CandleRange]]/[1]!BTC_data[[#This Row],[open]]</f>
        <v>1.5237571989479637E-3</v>
      </c>
      <c r="J137" s="12">
        <f>ABS([1]!BTC_data[[#This Row],[open]]-[1]!BTC_data[[#This Row],[close]])</f>
        <v>81.30000000000291</v>
      </c>
      <c r="K137" s="11">
        <f>[1]!BTC_data[[#This Row],[CandleBody]]/[1]!BTC_data[[#This Row],[open]]</f>
        <v>8.7240464982023865E-4</v>
      </c>
      <c r="L137" s="13">
        <f>IF([1]!BTC_data[[#This Row],[CandleRange]]&gt;0,([1]!BTC_data[[#This Row],[close]]-[1]!BTC_data[[#This Row],[low]])/[1]!BTC_data[[#This Row],[CandleRange]],"")</f>
        <v>0.57253521126762608</v>
      </c>
      <c r="M137" s="13">
        <f>IF([1]!BTC_data[[#This Row],[quote_volume]]&gt;0,[1]!BTC_data[[#This Row],[taker_buy_quote_volume]]/[1]!BTC_data[[#This Row],[quote_volume]],"")</f>
        <v>0.92082697537548419</v>
      </c>
      <c r="N137" t="str" cm="1">
        <f t="array" ref="N137">_xlfn.IFS([1]!BTC_data[[#This Row],[open]]-[1]!BTC_data[[#This Row],[close]]&gt;0,"Bearish",[1]!BTC_data[[#This Row],[open]]-[1]!BTC_data[[#This Row],[close]]&lt;0,"Bullish",TRUE,"Neutral")</f>
        <v>Bullish</v>
      </c>
      <c r="O137" s="13">
        <f>IF([1]!BTC_data[[#This Row],[CandleRange]]&gt;0,[1]!BTC_data[[#This Row],[CandleBody]]/[1]!BTC_data[[#This Row],[CandleRange]],"")</f>
        <v>0.57253521126762608</v>
      </c>
      <c r="P137" s="9" t="str" cm="1">
        <f t="array" ref="P137">_xlfn.IFS([1]!BTC_data[[#This Row],[BodyToRangeRatio]]&gt;=0.7,"Directional",[1]!BTC_data[[#This Row],[BodyToRangeRatio]]&lt;=0.3,"Indecision",TRUE,"Mixed")</f>
        <v>Mixed</v>
      </c>
      <c r="Q137" s="9" t="str" cm="1">
        <f t="array" ref="Q137">_xlfn.IFS([1]!BTC_data[[#This Row],[HourUTC]]&lt;8,"Asia",[1]!BTC_data[[#This Row],[HourUTC]]&lt;13,"London",[1]!BTC_data[[#This Row],[HourUTC]]&lt;21,"New York",TRUE,"AfterHours")</f>
        <v>London</v>
      </c>
    </row>
    <row r="138" spans="1:17" x14ac:dyDescent="0.3">
      <c r="A138" s="5">
        <v>93248</v>
      </c>
      <c r="B138" s="5">
        <v>93320.2</v>
      </c>
      <c r="C138" s="5">
        <v>26131</v>
      </c>
      <c r="D138" s="5">
        <v>28.006344039999998</v>
      </c>
      <c r="E138" s="5">
        <v>408</v>
      </c>
      <c r="F138" s="5">
        <v>16422</v>
      </c>
      <c r="G138" s="5">
        <v>17.597517509999999</v>
      </c>
      <c r="H138" s="5">
        <f>[1]!BTC_data[[#This Row],[high]]-[1]!BTC_data[[#This Row],[low]]</f>
        <v>99.5</v>
      </c>
      <c r="I138" s="6">
        <f>[1]!BTC_data[[#This Row],[CandleRange]]/[1]!BTC_data[[#This Row],[open]]</f>
        <v>1.0667713067466047E-3</v>
      </c>
      <c r="J138" s="7">
        <f>ABS([1]!BTC_data[[#This Row],[open]]-[1]!BTC_data[[#This Row],[close]])</f>
        <v>48.099999999991269</v>
      </c>
      <c r="K138" s="6">
        <f>[1]!BTC_data[[#This Row],[CandleBody]]/[1]!BTC_data[[#This Row],[open]]</f>
        <v>5.1569547592464696E-4</v>
      </c>
      <c r="L138" s="8">
        <f>IF([1]!BTC_data[[#This Row],[CandleRange]]&gt;0,([1]!BTC_data[[#This Row],[close]]-[1]!BTC_data[[#This Row],[low]])/[1]!BTC_data[[#This Row],[CandleRange]],"")</f>
        <v>0.72562814070348836</v>
      </c>
      <c r="M138" s="8">
        <f>IF([1]!BTC_data[[#This Row],[quote_volume]]&gt;0,[1]!BTC_data[[#This Row],[taker_buy_quote_volume]]/[1]!BTC_data[[#This Row],[quote_volume]],"")</f>
        <v>0.62834040333384411</v>
      </c>
      <c r="N138" t="str" cm="1">
        <f t="array" ref="N138">_xlfn.IFS([1]!BTC_data[[#This Row],[open]]-[1]!BTC_data[[#This Row],[close]]&gt;0,"Bearish",[1]!BTC_data[[#This Row],[open]]-[1]!BTC_data[[#This Row],[close]]&lt;0,"Bullish",TRUE,"Neutral")</f>
        <v>Bullish</v>
      </c>
      <c r="O138" s="8">
        <f>IF([1]!BTC_data[[#This Row],[CandleRange]]&gt;0,[1]!BTC_data[[#This Row],[CandleBody]]/[1]!BTC_data[[#This Row],[CandleRange]],"")</f>
        <v>0.48341708542704792</v>
      </c>
      <c r="P138" s="9" t="str" cm="1">
        <f t="array" ref="P138">_xlfn.IFS([1]!BTC_data[[#This Row],[BodyToRangeRatio]]&gt;=0.7,"Directional",[1]!BTC_data[[#This Row],[BodyToRangeRatio]]&lt;=0.3,"Indecision",TRUE,"Mixed")</f>
        <v>Mixed</v>
      </c>
      <c r="Q138" s="9" t="str" cm="1">
        <f t="array" ref="Q138">_xlfn.IFS([1]!BTC_data[[#This Row],[HourUTC]]&lt;8,"Asia",[1]!BTC_data[[#This Row],[HourUTC]]&lt;13,"London",[1]!BTC_data[[#This Row],[HourUTC]]&lt;21,"New York",TRUE,"AfterHours")</f>
        <v>London</v>
      </c>
    </row>
    <row r="139" spans="1:17" x14ac:dyDescent="0.3">
      <c r="A139" s="10">
        <v>93296.2</v>
      </c>
      <c r="B139" s="10">
        <v>93357</v>
      </c>
      <c r="C139" s="10">
        <v>21367</v>
      </c>
      <c r="D139" s="10">
        <v>22.89322782</v>
      </c>
      <c r="E139" s="10">
        <v>323</v>
      </c>
      <c r="F139" s="10">
        <v>18657</v>
      </c>
      <c r="G139" s="10">
        <v>19.989125170000001</v>
      </c>
      <c r="H139" s="10">
        <f>[1]!BTC_data[[#This Row],[high]]-[1]!BTC_data[[#This Row],[low]]</f>
        <v>60.80000000000291</v>
      </c>
      <c r="I139" s="11">
        <f>[1]!BTC_data[[#This Row],[CandleRange]]/[1]!BTC_data[[#This Row],[open]]</f>
        <v>6.5152094779155731E-4</v>
      </c>
      <c r="J139" s="12">
        <f>ABS([1]!BTC_data[[#This Row],[open]]-[1]!BTC_data[[#This Row],[close]])</f>
        <v>36.899999999994179</v>
      </c>
      <c r="K139" s="11">
        <f>[1]!BTC_data[[#This Row],[CandleBody]]/[1]!BTC_data[[#This Row],[open]]</f>
        <v>3.9541320680104477E-4</v>
      </c>
      <c r="L139" s="13">
        <f>IF([1]!BTC_data[[#This Row],[CandleRange]]&gt;0,([1]!BTC_data[[#This Row],[close]]-[1]!BTC_data[[#This Row],[low]])/[1]!BTC_data[[#This Row],[CandleRange]],"")</f>
        <v>1</v>
      </c>
      <c r="M139" s="13">
        <f>IF([1]!BTC_data[[#This Row],[quote_volume]]&gt;0,[1]!BTC_data[[#This Row],[taker_buy_quote_volume]]/[1]!BTC_data[[#This Row],[quote_volume]],"")</f>
        <v>0.87314577599831011</v>
      </c>
      <c r="N139" t="str" cm="1">
        <f t="array" ref="N139">_xlfn.IFS([1]!BTC_data[[#This Row],[open]]-[1]!BTC_data[[#This Row],[close]]&gt;0,"Bearish",[1]!BTC_data[[#This Row],[open]]-[1]!BTC_data[[#This Row],[close]]&lt;0,"Bullish",TRUE,"Neutral")</f>
        <v>Bullish</v>
      </c>
      <c r="O139" s="13">
        <f>IF([1]!BTC_data[[#This Row],[CandleRange]]&gt;0,[1]!BTC_data[[#This Row],[CandleBody]]/[1]!BTC_data[[#This Row],[CandleRange]],"")</f>
        <v>0.60690789473671736</v>
      </c>
      <c r="P139" s="9" t="str" cm="1">
        <f t="array" ref="P139">_xlfn.IFS([1]!BTC_data[[#This Row],[BodyToRangeRatio]]&gt;=0.7,"Directional",[1]!BTC_data[[#This Row],[BodyToRangeRatio]]&lt;=0.3,"Indecision",TRUE,"Mixed")</f>
        <v>Mixed</v>
      </c>
      <c r="Q139" s="9" t="str" cm="1">
        <f t="array" ref="Q139">_xlfn.IFS([1]!BTC_data[[#This Row],[HourUTC]]&lt;8,"Asia",[1]!BTC_data[[#This Row],[HourUTC]]&lt;13,"London",[1]!BTC_data[[#This Row],[HourUTC]]&lt;21,"New York",TRUE,"AfterHours")</f>
        <v>London</v>
      </c>
    </row>
    <row r="140" spans="1:17" x14ac:dyDescent="0.3">
      <c r="A140" s="5">
        <v>93300</v>
      </c>
      <c r="B140" s="5">
        <v>93312.3</v>
      </c>
      <c r="C140" s="5">
        <v>50573</v>
      </c>
      <c r="D140" s="5">
        <v>54.18950486</v>
      </c>
      <c r="E140" s="5">
        <v>573</v>
      </c>
      <c r="F140" s="5">
        <v>29372</v>
      </c>
      <c r="G140" s="5">
        <v>31.470091750000002</v>
      </c>
      <c r="H140" s="5">
        <f>[1]!BTC_data[[#This Row],[high]]-[1]!BTC_data[[#This Row],[low]]</f>
        <v>74.69999999999709</v>
      </c>
      <c r="I140" s="6">
        <f>[1]!BTC_data[[#This Row],[CandleRange]]/[1]!BTC_data[[#This Row],[open]]</f>
        <v>8.0014396164447359E-4</v>
      </c>
      <c r="J140" s="7">
        <f>ABS([1]!BTC_data[[#This Row],[open]]-[1]!BTC_data[[#This Row],[close]])</f>
        <v>45.899999999994179</v>
      </c>
      <c r="K140" s="6">
        <f>[1]!BTC_data[[#This Row],[CandleBody]]/[1]!BTC_data[[#This Row],[open]]</f>
        <v>4.9165472342005499E-4</v>
      </c>
      <c r="L140" s="8">
        <f>IF([1]!BTC_data[[#This Row],[CandleRange]]&gt;0,([1]!BTC_data[[#This Row],[close]]-[1]!BTC_data[[#This Row],[low]])/[1]!BTC_data[[#This Row],[CandleRange]],"")</f>
        <v>0.16465863453819798</v>
      </c>
      <c r="M140" s="8">
        <f>IF([1]!BTC_data[[#This Row],[quote_volume]]&gt;0,[1]!BTC_data[[#This Row],[taker_buy_quote_volume]]/[1]!BTC_data[[#This Row],[quote_volume]],"")</f>
        <v>0.58074145226651919</v>
      </c>
      <c r="N140" t="str" cm="1">
        <f t="array" ref="N140">_xlfn.IFS([1]!BTC_data[[#This Row],[open]]-[1]!BTC_data[[#This Row],[close]]&gt;0,"Bearish",[1]!BTC_data[[#This Row],[open]]-[1]!BTC_data[[#This Row],[close]]&lt;0,"Bullish",TRUE,"Neutral")</f>
        <v>Bearish</v>
      </c>
      <c r="O140" s="8">
        <f>IF([1]!BTC_data[[#This Row],[CandleRange]]&gt;0,[1]!BTC_data[[#This Row],[CandleBody]]/[1]!BTC_data[[#This Row],[CandleRange]],"")</f>
        <v>0.61445783132524723</v>
      </c>
      <c r="P140" s="9" t="str" cm="1">
        <f t="array" ref="P140">_xlfn.IFS([1]!BTC_data[[#This Row],[BodyToRangeRatio]]&gt;=0.7,"Directional",[1]!BTC_data[[#This Row],[BodyToRangeRatio]]&lt;=0.3,"Indecision",TRUE,"Mixed")</f>
        <v>Mixed</v>
      </c>
      <c r="Q140" s="9" t="str" cm="1">
        <f t="array" ref="Q140">_xlfn.IFS([1]!BTC_data[[#This Row],[HourUTC]]&lt;8,"Asia",[1]!BTC_data[[#This Row],[HourUTC]]&lt;13,"London",[1]!BTC_data[[#This Row],[HourUTC]]&lt;21,"New York",TRUE,"AfterHours")</f>
        <v>London</v>
      </c>
    </row>
    <row r="141" spans="1:17" x14ac:dyDescent="0.3">
      <c r="A141" s="10">
        <v>93264</v>
      </c>
      <c r="B141" s="10">
        <v>93291</v>
      </c>
      <c r="C141" s="10">
        <v>7233</v>
      </c>
      <c r="D141" s="10">
        <v>7.7537411499999997</v>
      </c>
      <c r="E141" s="10">
        <v>203</v>
      </c>
      <c r="F141" s="10">
        <v>3548</v>
      </c>
      <c r="G141" s="10">
        <v>3.8036074000000002</v>
      </c>
      <c r="H141" s="10">
        <f>[1]!BTC_data[[#This Row],[high]]-[1]!BTC_data[[#This Row],[low]]</f>
        <v>48.30000000000291</v>
      </c>
      <c r="I141" s="11">
        <f>[1]!BTC_data[[#This Row],[CandleRange]]/[1]!BTC_data[[#This Row],[open]]</f>
        <v>5.1761664860905702E-4</v>
      </c>
      <c r="J141" s="12">
        <f>ABS([1]!BTC_data[[#This Row],[open]]-[1]!BTC_data[[#This Row],[close]])</f>
        <v>21.30000000000291</v>
      </c>
      <c r="K141" s="11">
        <f>[1]!BTC_data[[#This Row],[CandleBody]]/[1]!BTC_data[[#This Row],[open]]</f>
        <v>2.2826572702637176E-4</v>
      </c>
      <c r="L141" s="13">
        <f>IF([1]!BTC_data[[#This Row],[CandleRange]]&gt;0,([1]!BTC_data[[#This Row],[close]]-[1]!BTC_data[[#This Row],[low]])/[1]!BTC_data[[#This Row],[CandleRange]],"")</f>
        <v>0.55900621118009053</v>
      </c>
      <c r="M141" s="13">
        <f>IF([1]!BTC_data[[#This Row],[quote_volume]]&gt;0,[1]!BTC_data[[#This Row],[taker_buy_quote_volume]]/[1]!BTC_data[[#This Row],[quote_volume]],"")</f>
        <v>0.49055124828354635</v>
      </c>
      <c r="N141" t="str" cm="1">
        <f t="array" ref="N141">_xlfn.IFS([1]!BTC_data[[#This Row],[open]]-[1]!BTC_data[[#This Row],[close]]&gt;0,"Bearish",[1]!BTC_data[[#This Row],[open]]-[1]!BTC_data[[#This Row],[close]]&lt;0,"Bullish",TRUE,"Neutral")</f>
        <v>Bearish</v>
      </c>
      <c r="O141" s="13">
        <f>IF([1]!BTC_data[[#This Row],[CandleRange]]&gt;0,[1]!BTC_data[[#This Row],[CandleBody]]/[1]!BTC_data[[#This Row],[CandleRange]],"")</f>
        <v>0.44099378881990947</v>
      </c>
      <c r="P141" s="9" t="str" cm="1">
        <f t="array" ref="P141">_xlfn.IFS([1]!BTC_data[[#This Row],[BodyToRangeRatio]]&gt;=0.7,"Directional",[1]!BTC_data[[#This Row],[BodyToRangeRatio]]&lt;=0.3,"Indecision",TRUE,"Mixed")</f>
        <v>Mixed</v>
      </c>
      <c r="Q141" s="9" t="str" cm="1">
        <f t="array" ref="Q141">_xlfn.IFS([1]!BTC_data[[#This Row],[HourUTC]]&lt;8,"Asia",[1]!BTC_data[[#This Row],[HourUTC]]&lt;13,"London",[1]!BTC_data[[#This Row],[HourUTC]]&lt;21,"New York",TRUE,"AfterHours")</f>
        <v>London</v>
      </c>
    </row>
    <row r="142" spans="1:17" x14ac:dyDescent="0.3">
      <c r="A142" s="5">
        <v>93289.3</v>
      </c>
      <c r="B142" s="5">
        <v>93457.1</v>
      </c>
      <c r="C142" s="5">
        <v>73983</v>
      </c>
      <c r="D142" s="5">
        <v>79.206791350000003</v>
      </c>
      <c r="E142" s="5">
        <v>1146</v>
      </c>
      <c r="F142" s="5">
        <v>63525</v>
      </c>
      <c r="G142" s="5">
        <v>68.011772719999996</v>
      </c>
      <c r="H142" s="5">
        <f>[1]!BTC_data[[#This Row],[high]]-[1]!BTC_data[[#This Row],[low]]</f>
        <v>185.5</v>
      </c>
      <c r="I142" s="6">
        <f>[1]!BTC_data[[#This Row],[CandleRange]]/[1]!BTC_data[[#This Row],[open]]</f>
        <v>1.9881908963364772E-3</v>
      </c>
      <c r="J142" s="7">
        <f>ABS([1]!BTC_data[[#This Row],[open]]-[1]!BTC_data[[#This Row],[close]])</f>
        <v>156.20000000001164</v>
      </c>
      <c r="K142" s="6">
        <f>[1]!BTC_data[[#This Row],[CandleBody]]/[1]!BTC_data[[#This Row],[open]]</f>
        <v>1.6741531968074441E-3</v>
      </c>
      <c r="L142" s="8">
        <f>IF([1]!BTC_data[[#This Row],[CandleRange]]&gt;0,([1]!BTC_data[[#This Row],[close]]-[1]!BTC_data[[#This Row],[low]])/[1]!BTC_data[[#This Row],[CandleRange]],"")</f>
        <v>0.90458221024260332</v>
      </c>
      <c r="M142" s="8">
        <f>IF([1]!BTC_data[[#This Row],[quote_volume]]&gt;0,[1]!BTC_data[[#This Row],[taker_buy_quote_volume]]/[1]!BTC_data[[#This Row],[quote_volume]],"")</f>
        <v>0.85866087441250694</v>
      </c>
      <c r="N142" t="str" cm="1">
        <f t="array" ref="N142">_xlfn.IFS([1]!BTC_data[[#This Row],[open]]-[1]!BTC_data[[#This Row],[close]]&gt;0,"Bearish",[1]!BTC_data[[#This Row],[open]]-[1]!BTC_data[[#This Row],[close]]&lt;0,"Bullish",TRUE,"Neutral")</f>
        <v>Bullish</v>
      </c>
      <c r="O142" s="8">
        <f>IF([1]!BTC_data[[#This Row],[CandleRange]]&gt;0,[1]!BTC_data[[#This Row],[CandleBody]]/[1]!BTC_data[[#This Row],[CandleRange]],"")</f>
        <v>0.84204851752027843</v>
      </c>
      <c r="P142" s="9" t="str" cm="1">
        <f t="array" ref="P142">_xlfn.IFS([1]!BTC_data[[#This Row],[BodyToRangeRatio]]&gt;=0.7,"Directional",[1]!BTC_data[[#This Row],[BodyToRangeRatio]]&lt;=0.3,"Indecision",TRUE,"Mixed")</f>
        <v>Directional</v>
      </c>
      <c r="Q142" s="9" t="str" cm="1">
        <f t="array" ref="Q142">_xlfn.IFS([1]!BTC_data[[#This Row],[HourUTC]]&lt;8,"Asia",[1]!BTC_data[[#This Row],[HourUTC]]&lt;13,"London",[1]!BTC_data[[#This Row],[HourUTC]]&lt;21,"New York",TRUE,"AfterHours")</f>
        <v>London</v>
      </c>
    </row>
    <row r="143" spans="1:17" x14ac:dyDescent="0.3">
      <c r="A143" s="10">
        <v>93400</v>
      </c>
      <c r="B143" s="10">
        <v>93400.2</v>
      </c>
      <c r="C143" s="10">
        <v>63585</v>
      </c>
      <c r="D143" s="10">
        <v>68.022094800000005</v>
      </c>
      <c r="E143" s="10">
        <v>863</v>
      </c>
      <c r="F143" s="10">
        <v>36560</v>
      </c>
      <c r="G143" s="10">
        <v>39.11164823</v>
      </c>
      <c r="H143" s="10">
        <f>[1]!BTC_data[[#This Row],[high]]-[1]!BTC_data[[#This Row],[low]]</f>
        <v>173.60000000000582</v>
      </c>
      <c r="I143" s="11">
        <f>[1]!BTC_data[[#This Row],[CandleRange]]/[1]!BTC_data[[#This Row],[open]]</f>
        <v>1.8573996405033576E-3</v>
      </c>
      <c r="J143" s="12">
        <f>ABS([1]!BTC_data[[#This Row],[open]]-[1]!BTC_data[[#This Row],[close]])</f>
        <v>63.80000000000291</v>
      </c>
      <c r="K143" s="11">
        <f>[1]!BTC_data[[#This Row],[CandleBody]]/[1]!BTC_data[[#This Row],[open]]</f>
        <v>6.8261576649836209E-4</v>
      </c>
      <c r="L143" s="13">
        <f>IF([1]!BTC_data[[#This Row],[CandleRange]]&gt;0,([1]!BTC_data[[#This Row],[close]]-[1]!BTC_data[[#This Row],[low]])/[1]!BTC_data[[#This Row],[CandleRange]],"")</f>
        <v>1.1520737327020906E-3</v>
      </c>
      <c r="M143" s="13">
        <f>IF([1]!BTC_data[[#This Row],[quote_volume]]&gt;0,[1]!BTC_data[[#This Row],[taker_buy_quote_volume]]/[1]!BTC_data[[#This Row],[quote_volume]],"")</f>
        <v>0.57498447151615795</v>
      </c>
      <c r="N143" t="str" cm="1">
        <f t="array" ref="N143">_xlfn.IFS([1]!BTC_data[[#This Row],[open]]-[1]!BTC_data[[#This Row],[close]]&gt;0,"Bearish",[1]!BTC_data[[#This Row],[open]]-[1]!BTC_data[[#This Row],[close]]&lt;0,"Bullish",TRUE,"Neutral")</f>
        <v>Bearish</v>
      </c>
      <c r="O143" s="13">
        <f>IF([1]!BTC_data[[#This Row],[CandleRange]]&gt;0,[1]!BTC_data[[#This Row],[CandleBody]]/[1]!BTC_data[[#This Row],[CandleRange]],"")</f>
        <v>0.36751152073733162</v>
      </c>
      <c r="P143" s="9" t="str" cm="1">
        <f t="array" ref="P143">_xlfn.IFS([1]!BTC_data[[#This Row],[BodyToRangeRatio]]&gt;=0.7,"Directional",[1]!BTC_data[[#This Row],[BodyToRangeRatio]]&lt;=0.3,"Indecision",TRUE,"Mixed")</f>
        <v>Mixed</v>
      </c>
      <c r="Q143" s="9" t="str" cm="1">
        <f t="array" ref="Q143">_xlfn.IFS([1]!BTC_data[[#This Row],[HourUTC]]&lt;8,"Asia",[1]!BTC_data[[#This Row],[HourUTC]]&lt;13,"London",[1]!BTC_data[[#This Row],[HourUTC]]&lt;21,"New York",TRUE,"AfterHours")</f>
        <v>London</v>
      </c>
    </row>
    <row r="144" spans="1:17" x14ac:dyDescent="0.3">
      <c r="A144" s="5">
        <v>93351.3</v>
      </c>
      <c r="B144" s="5">
        <v>93351.5</v>
      </c>
      <c r="C144" s="5">
        <v>20001</v>
      </c>
      <c r="D144" s="5">
        <v>21.419231509999999</v>
      </c>
      <c r="E144" s="5">
        <v>444</v>
      </c>
      <c r="F144" s="5">
        <v>10652</v>
      </c>
      <c r="G144" s="5">
        <v>11.40668629</v>
      </c>
      <c r="H144" s="5">
        <f>[1]!BTC_data[[#This Row],[high]]-[1]!BTC_data[[#This Row],[low]]</f>
        <v>57.5</v>
      </c>
      <c r="I144" s="6">
        <f>[1]!BTC_data[[#This Row],[CandleRange]]/[1]!BTC_data[[#This Row],[open]]</f>
        <v>6.155961004395892E-4</v>
      </c>
      <c r="J144" s="7">
        <f>ABS([1]!BTC_data[[#This Row],[open]]-[1]!BTC_data[[#This Row],[close]])</f>
        <v>53.899999999994179</v>
      </c>
      <c r="K144" s="6">
        <f>[1]!BTC_data[[#This Row],[CandleBody]]/[1]!BTC_data[[#This Row],[open]]</f>
        <v>5.770544315424395E-4</v>
      </c>
      <c r="L144" s="8">
        <f>IF([1]!BTC_data[[#This Row],[CandleRange]]&gt;0,([1]!BTC_data[[#This Row],[close]]-[1]!BTC_data[[#This Row],[low]])/[1]!BTC_data[[#This Row],[CandleRange]],"")</f>
        <v>3.4782608695146022E-3</v>
      </c>
      <c r="M144" s="8">
        <f>IF([1]!BTC_data[[#This Row],[quote_volume]]&gt;0,[1]!BTC_data[[#This Row],[taker_buy_quote_volume]]/[1]!BTC_data[[#This Row],[quote_volume]],"")</f>
        <v>0.53254414308349762</v>
      </c>
      <c r="N144" t="str" cm="1">
        <f t="array" ref="N144">_xlfn.IFS([1]!BTC_data[[#This Row],[open]]-[1]!BTC_data[[#This Row],[close]]&gt;0,"Bearish",[1]!BTC_data[[#This Row],[open]]-[1]!BTC_data[[#This Row],[close]]&lt;0,"Bullish",TRUE,"Neutral")</f>
        <v>Bearish</v>
      </c>
      <c r="O144" s="8">
        <f>IF([1]!BTC_data[[#This Row],[CandleRange]]&gt;0,[1]!BTC_data[[#This Row],[CandleBody]]/[1]!BTC_data[[#This Row],[CandleRange]],"")</f>
        <v>0.93739130434772489</v>
      </c>
      <c r="P144" s="9" t="str" cm="1">
        <f t="array" ref="P144">_xlfn.IFS([1]!BTC_data[[#This Row],[BodyToRangeRatio]]&gt;=0.7,"Directional",[1]!BTC_data[[#This Row],[BodyToRangeRatio]]&lt;=0.3,"Indecision",TRUE,"Mixed")</f>
        <v>Directional</v>
      </c>
      <c r="Q144" s="9" t="str" cm="1">
        <f t="array" ref="Q144">_xlfn.IFS([1]!BTC_data[[#This Row],[HourUTC]]&lt;8,"Asia",[1]!BTC_data[[#This Row],[HourUTC]]&lt;13,"London",[1]!BTC_data[[#This Row],[HourUTC]]&lt;21,"New York",TRUE,"AfterHours")</f>
        <v>London</v>
      </c>
    </row>
    <row r="145" spans="1:17" x14ac:dyDescent="0.3">
      <c r="A145" s="10">
        <v>93304.5</v>
      </c>
      <c r="B145" s="10">
        <v>93316</v>
      </c>
      <c r="C145" s="10">
        <v>22433</v>
      </c>
      <c r="D145" s="10">
        <v>24.035688879999999</v>
      </c>
      <c r="E145" s="10">
        <v>468</v>
      </c>
      <c r="F145" s="10">
        <v>11090</v>
      </c>
      <c r="G145" s="10">
        <v>11.883439989999999</v>
      </c>
      <c r="H145" s="10">
        <f>[1]!BTC_data[[#This Row],[high]]-[1]!BTC_data[[#This Row],[low]]</f>
        <v>47</v>
      </c>
      <c r="I145" s="11">
        <f>[1]!BTC_data[[#This Row],[CandleRange]]/[1]!BTC_data[[#This Row],[open]]</f>
        <v>5.0347343106431071E-4</v>
      </c>
      <c r="J145" s="12">
        <f>ABS([1]!BTC_data[[#This Row],[open]]-[1]!BTC_data[[#This Row],[close]])</f>
        <v>35.5</v>
      </c>
      <c r="K145" s="11">
        <f>[1]!BTC_data[[#This Row],[CandleBody]]/[1]!BTC_data[[#This Row],[open]]</f>
        <v>3.802831234634687E-4</v>
      </c>
      <c r="L145" s="13">
        <f>IF([1]!BTC_data[[#This Row],[CandleRange]]&gt;0,([1]!BTC_data[[#This Row],[close]]-[1]!BTC_data[[#This Row],[low]])/[1]!BTC_data[[#This Row],[CandleRange]],"")</f>
        <v>0.24468085106382978</v>
      </c>
      <c r="M145" s="13">
        <f>IF([1]!BTC_data[[#This Row],[quote_volume]]&gt;0,[1]!BTC_data[[#This Row],[taker_buy_quote_volume]]/[1]!BTC_data[[#This Row],[quote_volume]],"")</f>
        <v>0.49440812989920846</v>
      </c>
      <c r="N145" t="str" cm="1">
        <f t="array" ref="N145">_xlfn.IFS([1]!BTC_data[[#This Row],[open]]-[1]!BTC_data[[#This Row],[close]]&gt;0,"Bearish",[1]!BTC_data[[#This Row],[open]]-[1]!BTC_data[[#This Row],[close]]&lt;0,"Bullish",TRUE,"Neutral")</f>
        <v>Bearish</v>
      </c>
      <c r="O145" s="13">
        <f>IF([1]!BTC_data[[#This Row],[CandleRange]]&gt;0,[1]!BTC_data[[#This Row],[CandleBody]]/[1]!BTC_data[[#This Row],[CandleRange]],"")</f>
        <v>0.75531914893617025</v>
      </c>
      <c r="P145" s="9" t="str" cm="1">
        <f t="array" ref="P145">_xlfn.IFS([1]!BTC_data[[#This Row],[BodyToRangeRatio]]&gt;=0.7,"Directional",[1]!BTC_data[[#This Row],[BodyToRangeRatio]]&lt;=0.3,"Indecision",TRUE,"Mixed")</f>
        <v>Directional</v>
      </c>
      <c r="Q145" s="9" t="str" cm="1">
        <f t="array" ref="Q145">_xlfn.IFS([1]!BTC_data[[#This Row],[HourUTC]]&lt;8,"Asia",[1]!BTC_data[[#This Row],[HourUTC]]&lt;13,"London",[1]!BTC_data[[#This Row],[HourUTC]]&lt;21,"New York",TRUE,"AfterHours")</f>
        <v>London</v>
      </c>
    </row>
    <row r="146" spans="1:17" x14ac:dyDescent="0.3">
      <c r="A146" s="5">
        <v>93261.6</v>
      </c>
      <c r="B146" s="5">
        <v>93374.2</v>
      </c>
      <c r="C146" s="5">
        <v>36573</v>
      </c>
      <c r="D146" s="5">
        <v>39.194434510000001</v>
      </c>
      <c r="E146" s="5">
        <v>442</v>
      </c>
      <c r="F146" s="5">
        <v>14254</v>
      </c>
      <c r="G146" s="5">
        <v>15.273965520000001</v>
      </c>
      <c r="H146" s="5">
        <f>[1]!BTC_data[[#This Row],[high]]-[1]!BTC_data[[#This Row],[low]]</f>
        <v>112.69999999999709</v>
      </c>
      <c r="I146" s="6">
        <f>[1]!BTC_data[[#This Row],[CandleRange]]/[1]!BTC_data[[#This Row],[open]]</f>
        <v>1.2077242916541332E-3</v>
      </c>
      <c r="J146" s="7">
        <f>ABS([1]!BTC_data[[#This Row],[open]]-[1]!BTC_data[[#This Row],[close]])</f>
        <v>58.19999999999709</v>
      </c>
      <c r="K146" s="6">
        <f>[1]!BTC_data[[#This Row],[CandleBody]]/[1]!BTC_data[[#This Row],[open]]</f>
        <v>6.2368725620469249E-4</v>
      </c>
      <c r="L146" s="8">
        <f>IF([1]!BTC_data[[#This Row],[CandleRange]]&gt;0,([1]!BTC_data[[#This Row],[close]]-[1]!BTC_data[[#This Row],[low]])/[1]!BTC_data[[#This Row],[CandleRange]],"")</f>
        <v>0.99911268855363067</v>
      </c>
      <c r="M146" s="8">
        <f>IF([1]!BTC_data[[#This Row],[quote_volume]]&gt;0,[1]!BTC_data[[#This Row],[taker_buy_quote_volume]]/[1]!BTC_data[[#This Row],[quote_volume]],"")</f>
        <v>0.38969730552185994</v>
      </c>
      <c r="N146" t="str" cm="1">
        <f t="array" ref="N146">_xlfn.IFS([1]!BTC_data[[#This Row],[open]]-[1]!BTC_data[[#This Row],[close]]&gt;0,"Bearish",[1]!BTC_data[[#This Row],[open]]-[1]!BTC_data[[#This Row],[close]]&lt;0,"Bullish",TRUE,"Neutral")</f>
        <v>Bullish</v>
      </c>
      <c r="O146" s="8">
        <f>IF([1]!BTC_data[[#This Row],[CandleRange]]&gt;0,[1]!BTC_data[[#This Row],[CandleBody]]/[1]!BTC_data[[#This Row],[CandleRange]],"")</f>
        <v>0.51641526175686414</v>
      </c>
      <c r="P146" s="9" t="str" cm="1">
        <f t="array" ref="P146">_xlfn.IFS([1]!BTC_data[[#This Row],[BodyToRangeRatio]]&gt;=0.7,"Directional",[1]!BTC_data[[#This Row],[BodyToRangeRatio]]&lt;=0.3,"Indecision",TRUE,"Mixed")</f>
        <v>Mixed</v>
      </c>
      <c r="Q146" s="9" t="str" cm="1">
        <f t="array" ref="Q146">_xlfn.IFS([1]!BTC_data[[#This Row],[HourUTC]]&lt;8,"Asia",[1]!BTC_data[[#This Row],[HourUTC]]&lt;13,"London",[1]!BTC_data[[#This Row],[HourUTC]]&lt;21,"New York",TRUE,"AfterHours")</f>
        <v>London</v>
      </c>
    </row>
    <row r="147" spans="1:17" x14ac:dyDescent="0.3">
      <c r="A147" s="10">
        <v>93333</v>
      </c>
      <c r="B147" s="10">
        <v>93348</v>
      </c>
      <c r="C147" s="10">
        <v>21766</v>
      </c>
      <c r="D147" s="10">
        <v>23.316124689999999</v>
      </c>
      <c r="E147" s="10">
        <v>345</v>
      </c>
      <c r="F147" s="10">
        <v>17085</v>
      </c>
      <c r="G147" s="10">
        <v>18.302140489999999</v>
      </c>
      <c r="H147" s="10">
        <f>[1]!BTC_data[[#This Row],[high]]-[1]!BTC_data[[#This Row],[low]]</f>
        <v>51.899999999994179</v>
      </c>
      <c r="I147" s="11">
        <f>[1]!BTC_data[[#This Row],[CandleRange]]/[1]!BTC_data[[#This Row],[open]]</f>
        <v>5.5582805528715839E-4</v>
      </c>
      <c r="J147" s="12">
        <f>ABS([1]!BTC_data[[#This Row],[open]]-[1]!BTC_data[[#This Row],[close]])</f>
        <v>26.19999999999709</v>
      </c>
      <c r="K147" s="11">
        <f>[1]!BTC_data[[#This Row],[CandleBody]]/[1]!BTC_data[[#This Row],[open]]</f>
        <v>2.8059142675382592E-4</v>
      </c>
      <c r="L147" s="13">
        <f>IF([1]!BTC_data[[#This Row],[CandleRange]]&gt;0,([1]!BTC_data[[#This Row],[close]]-[1]!BTC_data[[#This Row],[low]])/[1]!BTC_data[[#This Row],[CandleRange]],"")</f>
        <v>0.28901734104049487</v>
      </c>
      <c r="M147" s="13">
        <f>IF([1]!BTC_data[[#This Row],[quote_volume]]&gt;0,[1]!BTC_data[[#This Row],[taker_buy_quote_volume]]/[1]!BTC_data[[#This Row],[quote_volume]],"")</f>
        <v>0.7849563653195577</v>
      </c>
      <c r="N147" t="str" cm="1">
        <f t="array" ref="N147">_xlfn.IFS([1]!BTC_data[[#This Row],[open]]-[1]!BTC_data[[#This Row],[close]]&gt;0,"Bearish",[1]!BTC_data[[#This Row],[open]]-[1]!BTC_data[[#This Row],[close]]&lt;0,"Bullish",TRUE,"Neutral")</f>
        <v>Bearish</v>
      </c>
      <c r="O147" s="13">
        <f>IF([1]!BTC_data[[#This Row],[CandleRange]]&gt;0,[1]!BTC_data[[#This Row],[CandleBody]]/[1]!BTC_data[[#This Row],[CandleRange]],"")</f>
        <v>0.5048169556840082</v>
      </c>
      <c r="P147" s="9" t="str" cm="1">
        <f t="array" ref="P147">_xlfn.IFS([1]!BTC_data[[#This Row],[BodyToRangeRatio]]&gt;=0.7,"Directional",[1]!BTC_data[[#This Row],[BodyToRangeRatio]]&lt;=0.3,"Indecision",TRUE,"Mixed")</f>
        <v>Mixed</v>
      </c>
      <c r="Q147" s="9" t="str" cm="1">
        <f t="array" ref="Q147">_xlfn.IFS([1]!BTC_data[[#This Row],[HourUTC]]&lt;8,"Asia",[1]!BTC_data[[#This Row],[HourUTC]]&lt;13,"London",[1]!BTC_data[[#This Row],[HourUTC]]&lt;21,"New York",TRUE,"AfterHours")</f>
        <v>London</v>
      </c>
    </row>
    <row r="148" spans="1:17" x14ac:dyDescent="0.3">
      <c r="A148" s="5">
        <v>93260.4</v>
      </c>
      <c r="B148" s="5">
        <v>93315.1</v>
      </c>
      <c r="C148" s="5">
        <v>37534</v>
      </c>
      <c r="D148" s="5">
        <v>40.23156633</v>
      </c>
      <c r="E148" s="5">
        <v>372</v>
      </c>
      <c r="F148" s="5">
        <v>8158</v>
      </c>
      <c r="G148" s="5">
        <v>8.7448572000000002</v>
      </c>
      <c r="H148" s="5">
        <f>[1]!BTC_data[[#This Row],[high]]-[1]!BTC_data[[#This Row],[low]]</f>
        <v>87.80000000000291</v>
      </c>
      <c r="I148" s="6">
        <f>[1]!BTC_data[[#This Row],[CandleRange]]/[1]!BTC_data[[#This Row],[open]]</f>
        <v>9.4056446723132217E-4</v>
      </c>
      <c r="J148" s="7">
        <f>ABS([1]!BTC_data[[#This Row],[open]]-[1]!BTC_data[[#This Row],[close]])</f>
        <v>33.099999999991269</v>
      </c>
      <c r="K148" s="6">
        <f>[1]!BTC_data[[#This Row],[CandleBody]]/[1]!BTC_data[[#This Row],[open]]</f>
        <v>3.5458637659849116E-4</v>
      </c>
      <c r="L148" s="8">
        <f>IF([1]!BTC_data[[#This Row],[CandleRange]]&gt;0,([1]!BTC_data[[#This Row],[close]]-[1]!BTC_data[[#This Row],[low]])/[1]!BTC_data[[#This Row],[CandleRange]],"")</f>
        <v>0.62300683371309595</v>
      </c>
      <c r="M148" s="8">
        <f>IF([1]!BTC_data[[#This Row],[quote_volume]]&gt;0,[1]!BTC_data[[#This Row],[taker_buy_quote_volume]]/[1]!BTC_data[[#This Row],[quote_volume]],"")</f>
        <v>0.21736308072795832</v>
      </c>
      <c r="N148" t="str" cm="1">
        <f t="array" ref="N148">_xlfn.IFS([1]!BTC_data[[#This Row],[open]]-[1]!BTC_data[[#This Row],[close]]&gt;0,"Bearish",[1]!BTC_data[[#This Row],[open]]-[1]!BTC_data[[#This Row],[close]]&lt;0,"Bullish",TRUE,"Neutral")</f>
        <v>Bearish</v>
      </c>
      <c r="O148" s="8">
        <f>IF([1]!BTC_data[[#This Row],[CandleRange]]&gt;0,[1]!BTC_data[[#This Row],[CandleBody]]/[1]!BTC_data[[#This Row],[CandleRange]],"")</f>
        <v>0.37699316628690399</v>
      </c>
      <c r="P148" s="9" t="str" cm="1">
        <f t="array" ref="P148">_xlfn.IFS([1]!BTC_data[[#This Row],[BodyToRangeRatio]]&gt;=0.7,"Directional",[1]!BTC_data[[#This Row],[BodyToRangeRatio]]&lt;=0.3,"Indecision",TRUE,"Mixed")</f>
        <v>Mixed</v>
      </c>
      <c r="Q148" s="9" t="str" cm="1">
        <f t="array" ref="Q148">_xlfn.IFS([1]!BTC_data[[#This Row],[HourUTC]]&lt;8,"Asia",[1]!BTC_data[[#This Row],[HourUTC]]&lt;13,"London",[1]!BTC_data[[#This Row],[HourUTC]]&lt;21,"New York",TRUE,"AfterHours")</f>
        <v>London</v>
      </c>
    </row>
    <row r="149" spans="1:17" x14ac:dyDescent="0.3">
      <c r="A149" s="10">
        <v>93314.7</v>
      </c>
      <c r="B149" s="10">
        <v>93408.6</v>
      </c>
      <c r="C149" s="10">
        <v>35961</v>
      </c>
      <c r="D149" s="10">
        <v>38.519632340000001</v>
      </c>
      <c r="E149" s="10">
        <v>445</v>
      </c>
      <c r="F149" s="10">
        <v>31534</v>
      </c>
      <c r="G149" s="10">
        <v>33.778639230000003</v>
      </c>
      <c r="H149" s="10">
        <f>[1]!BTC_data[[#This Row],[high]]-[1]!BTC_data[[#This Row],[low]]</f>
        <v>122.19999999999709</v>
      </c>
      <c r="I149" s="11">
        <f>[1]!BTC_data[[#This Row],[CandleRange]]/[1]!BTC_data[[#This Row],[open]]</f>
        <v>1.3095415425798942E-3</v>
      </c>
      <c r="J149" s="12">
        <f>ABS([1]!BTC_data[[#This Row],[open]]-[1]!BTC_data[[#This Row],[close]])</f>
        <v>93.5</v>
      </c>
      <c r="K149" s="11">
        <f>[1]!BTC_data[[#This Row],[CandleBody]]/[1]!BTC_data[[#This Row],[open]]</f>
        <v>1.0019814585206467E-3</v>
      </c>
      <c r="L149" s="13">
        <f>IF([1]!BTC_data[[#This Row],[CandleRange]]&gt;0,([1]!BTC_data[[#This Row],[close]]-[1]!BTC_data[[#This Row],[low]])/[1]!BTC_data[[#This Row],[CandleRange]],"")</f>
        <v>0.76841243862529429</v>
      </c>
      <c r="M149" s="13">
        <f>IF([1]!BTC_data[[#This Row],[quote_volume]]&gt;0,[1]!BTC_data[[#This Row],[taker_buy_quote_volume]]/[1]!BTC_data[[#This Row],[quote_volume]],"")</f>
        <v>0.87692008407160205</v>
      </c>
      <c r="N149" t="str" cm="1">
        <f t="array" ref="N149">_xlfn.IFS([1]!BTC_data[[#This Row],[open]]-[1]!BTC_data[[#This Row],[close]]&gt;0,"Bearish",[1]!BTC_data[[#This Row],[open]]-[1]!BTC_data[[#This Row],[close]]&lt;0,"Bullish",TRUE,"Neutral")</f>
        <v>Bullish</v>
      </c>
      <c r="O149" s="13">
        <f>IF([1]!BTC_data[[#This Row],[CandleRange]]&gt;0,[1]!BTC_data[[#This Row],[CandleBody]]/[1]!BTC_data[[#This Row],[CandleRange]],"")</f>
        <v>0.76513911620296426</v>
      </c>
      <c r="P149" s="9" t="str" cm="1">
        <f t="array" ref="P149">_xlfn.IFS([1]!BTC_data[[#This Row],[BodyToRangeRatio]]&gt;=0.7,"Directional",[1]!BTC_data[[#This Row],[BodyToRangeRatio]]&lt;=0.3,"Indecision",TRUE,"Mixed")</f>
        <v>Directional</v>
      </c>
      <c r="Q149" s="9" t="str" cm="1">
        <f t="array" ref="Q149">_xlfn.IFS([1]!BTC_data[[#This Row],[HourUTC]]&lt;8,"Asia",[1]!BTC_data[[#This Row],[HourUTC]]&lt;13,"London",[1]!BTC_data[[#This Row],[HourUTC]]&lt;21,"New York",TRUE,"AfterHours")</f>
        <v>London</v>
      </c>
    </row>
    <row r="150" spans="1:17" x14ac:dyDescent="0.3">
      <c r="A150" s="5">
        <v>93408.7</v>
      </c>
      <c r="B150" s="5">
        <v>93639.9</v>
      </c>
      <c r="C150" s="5">
        <v>59461</v>
      </c>
      <c r="D150" s="5">
        <v>63.544280190000002</v>
      </c>
      <c r="E150" s="5">
        <v>1203</v>
      </c>
      <c r="F150" s="5">
        <v>40785</v>
      </c>
      <c r="G150" s="5">
        <v>43.590717920000003</v>
      </c>
      <c r="H150" s="5">
        <f>[1]!BTC_data[[#This Row],[high]]-[1]!BTC_data[[#This Row],[low]]</f>
        <v>298.90000000000873</v>
      </c>
      <c r="I150" s="6">
        <f>[1]!BTC_data[[#This Row],[CandleRange]]/[1]!BTC_data[[#This Row],[open]]</f>
        <v>3.1999160677753649E-3</v>
      </c>
      <c r="J150" s="7">
        <f>ABS([1]!BTC_data[[#This Row],[open]]-[1]!BTC_data[[#This Row],[close]])</f>
        <v>231.19999999999709</v>
      </c>
      <c r="K150" s="6">
        <f>[1]!BTC_data[[#This Row],[CandleBody]]/[1]!BTC_data[[#This Row],[open]]</f>
        <v>2.4751441782189143E-3</v>
      </c>
      <c r="L150" s="8">
        <f>IF([1]!BTC_data[[#This Row],[CandleRange]]&gt;0,([1]!BTC_data[[#This Row],[close]]-[1]!BTC_data[[#This Row],[low]])/[1]!BTC_data[[#This Row],[CandleRange]],"")</f>
        <v>0.77350284376042266</v>
      </c>
      <c r="M150" s="8">
        <f>IF([1]!BTC_data[[#This Row],[quote_volume]]&gt;0,[1]!BTC_data[[#This Row],[taker_buy_quote_volume]]/[1]!BTC_data[[#This Row],[quote_volume]],"")</f>
        <v>0.68598964044697608</v>
      </c>
      <c r="N150" t="str" cm="1">
        <f t="array" ref="N150">_xlfn.IFS([1]!BTC_data[[#This Row],[open]]-[1]!BTC_data[[#This Row],[close]]&gt;0,"Bearish",[1]!BTC_data[[#This Row],[open]]-[1]!BTC_data[[#This Row],[close]]&lt;0,"Bullish",TRUE,"Neutral")</f>
        <v>Bullish</v>
      </c>
      <c r="O150" s="8">
        <f>IF([1]!BTC_data[[#This Row],[CandleRange]]&gt;0,[1]!BTC_data[[#This Row],[CandleBody]]/[1]!BTC_data[[#This Row],[CandleRange]],"")</f>
        <v>0.77350284376042266</v>
      </c>
      <c r="P150" s="9" t="str" cm="1">
        <f t="array" ref="P150">_xlfn.IFS([1]!BTC_data[[#This Row],[BodyToRangeRatio]]&gt;=0.7,"Directional",[1]!BTC_data[[#This Row],[BodyToRangeRatio]]&lt;=0.3,"Indecision",TRUE,"Mixed")</f>
        <v>Directional</v>
      </c>
      <c r="Q150" s="9" t="str" cm="1">
        <f t="array" ref="Q150">_xlfn.IFS([1]!BTC_data[[#This Row],[HourUTC]]&lt;8,"Asia",[1]!BTC_data[[#This Row],[HourUTC]]&lt;13,"London",[1]!BTC_data[[#This Row],[HourUTC]]&lt;21,"New York",TRUE,"AfterHours")</f>
        <v>London</v>
      </c>
    </row>
    <row r="151" spans="1:17" x14ac:dyDescent="0.3">
      <c r="A151" s="10">
        <v>93639.9</v>
      </c>
      <c r="B151" s="10">
        <v>93756.5</v>
      </c>
      <c r="C151" s="10">
        <v>62034</v>
      </c>
      <c r="D151" s="10">
        <v>66.18209444</v>
      </c>
      <c r="E151" s="10">
        <v>1166</v>
      </c>
      <c r="F151" s="10">
        <v>47833</v>
      </c>
      <c r="G151" s="10">
        <v>51.032766580000001</v>
      </c>
      <c r="H151" s="10">
        <f>[1]!BTC_data[[#This Row],[high]]-[1]!BTC_data[[#This Row],[low]]</f>
        <v>194.10000000000582</v>
      </c>
      <c r="I151" s="11">
        <f>[1]!BTC_data[[#This Row],[CandleRange]]/[1]!BTC_data[[#This Row],[open]]</f>
        <v>2.0728343366450182E-3</v>
      </c>
      <c r="J151" s="12">
        <f>ABS([1]!BTC_data[[#This Row],[open]]-[1]!BTC_data[[#This Row],[close]])</f>
        <v>116.60000000000582</v>
      </c>
      <c r="K151" s="11">
        <f>[1]!BTC_data[[#This Row],[CandleBody]]/[1]!BTC_data[[#This Row],[open]]</f>
        <v>1.2451956911530857E-3</v>
      </c>
      <c r="L151" s="13">
        <f>IF([1]!BTC_data[[#This Row],[CandleRange]]&gt;0,([1]!BTC_data[[#This Row],[close]]-[1]!BTC_data[[#This Row],[low]])/[1]!BTC_data[[#This Row],[CandleRange]],"")</f>
        <v>0.60072127769192341</v>
      </c>
      <c r="M151" s="13">
        <f>IF([1]!BTC_data[[#This Row],[quote_volume]]&gt;0,[1]!BTC_data[[#This Row],[taker_buy_quote_volume]]/[1]!BTC_data[[#This Row],[quote_volume]],"")</f>
        <v>0.77109627629366995</v>
      </c>
      <c r="N151" t="str" cm="1">
        <f t="array" ref="N151">_xlfn.IFS([1]!BTC_data[[#This Row],[open]]-[1]!BTC_data[[#This Row],[close]]&gt;0,"Bearish",[1]!BTC_data[[#This Row],[open]]-[1]!BTC_data[[#This Row],[close]]&lt;0,"Bullish",TRUE,"Neutral")</f>
        <v>Bullish</v>
      </c>
      <c r="O151" s="13">
        <f>IF([1]!BTC_data[[#This Row],[CandleRange]]&gt;0,[1]!BTC_data[[#This Row],[CandleBody]]/[1]!BTC_data[[#This Row],[CandleRange]],"")</f>
        <v>0.60072127769192341</v>
      </c>
      <c r="P151" s="9" t="str" cm="1">
        <f t="array" ref="P151">_xlfn.IFS([1]!BTC_data[[#This Row],[BodyToRangeRatio]]&gt;=0.7,"Directional",[1]!BTC_data[[#This Row],[BodyToRangeRatio]]&lt;=0.3,"Indecision",TRUE,"Mixed")</f>
        <v>Mixed</v>
      </c>
      <c r="Q151" s="9" t="str" cm="1">
        <f t="array" ref="Q151">_xlfn.IFS([1]!BTC_data[[#This Row],[HourUTC]]&lt;8,"Asia",[1]!BTC_data[[#This Row],[HourUTC]]&lt;13,"London",[1]!BTC_data[[#This Row],[HourUTC]]&lt;21,"New York",TRUE,"AfterHours")</f>
        <v>London</v>
      </c>
    </row>
    <row r="152" spans="1:17" x14ac:dyDescent="0.3">
      <c r="A152" s="5">
        <v>93674.5</v>
      </c>
      <c r="B152" s="5">
        <v>93676.7</v>
      </c>
      <c r="C152" s="5">
        <v>43824</v>
      </c>
      <c r="D152" s="5">
        <v>46.759485339999998</v>
      </c>
      <c r="E152" s="5">
        <v>638</v>
      </c>
      <c r="F152" s="5">
        <v>25889</v>
      </c>
      <c r="G152" s="5">
        <v>27.622997099999999</v>
      </c>
      <c r="H152" s="5">
        <f>[1]!BTC_data[[#This Row],[high]]-[1]!BTC_data[[#This Row],[low]]</f>
        <v>93.100000000005821</v>
      </c>
      <c r="I152" s="6">
        <f>[1]!BTC_data[[#This Row],[CandleRange]]/[1]!BTC_data[[#This Row],[open]]</f>
        <v>9.9299993707095756E-4</v>
      </c>
      <c r="J152" s="7">
        <f>ABS([1]!BTC_data[[#This Row],[open]]-[1]!BTC_data[[#This Row],[close]])</f>
        <v>79.600000000005821</v>
      </c>
      <c r="K152" s="6">
        <f>[1]!BTC_data[[#This Row],[CandleBody]]/[1]!BTC_data[[#This Row],[open]]</f>
        <v>8.4900961322072026E-4</v>
      </c>
      <c r="L152" s="8">
        <f>IF([1]!BTC_data[[#This Row],[CandleRange]]&gt;0,([1]!BTC_data[[#This Row],[close]]-[1]!BTC_data[[#This Row],[low]])/[1]!BTC_data[[#This Row],[CandleRange]],"")</f>
        <v>2.3630504833479615E-2</v>
      </c>
      <c r="M152" s="8">
        <f>IF([1]!BTC_data[[#This Row],[quote_volume]]&gt;0,[1]!BTC_data[[#This Row],[taker_buy_quote_volume]]/[1]!BTC_data[[#This Row],[quote_volume]],"")</f>
        <v>0.59074638865561135</v>
      </c>
      <c r="N152" t="str" cm="1">
        <f t="array" ref="N152">_xlfn.IFS([1]!BTC_data[[#This Row],[open]]-[1]!BTC_data[[#This Row],[close]]&gt;0,"Bearish",[1]!BTC_data[[#This Row],[open]]-[1]!BTC_data[[#This Row],[close]]&lt;0,"Bullish",TRUE,"Neutral")</f>
        <v>Bearish</v>
      </c>
      <c r="O152" s="8">
        <f>IF([1]!BTC_data[[#This Row],[CandleRange]]&gt;0,[1]!BTC_data[[#This Row],[CandleBody]]/[1]!BTC_data[[#This Row],[CandleRange]],"")</f>
        <v>0.85499462943072868</v>
      </c>
      <c r="P152" s="9" t="str" cm="1">
        <f t="array" ref="P152">_xlfn.IFS([1]!BTC_data[[#This Row],[BodyToRangeRatio]]&gt;=0.7,"Directional",[1]!BTC_data[[#This Row],[BodyToRangeRatio]]&lt;=0.3,"Indecision",TRUE,"Mixed")</f>
        <v>Directional</v>
      </c>
      <c r="Q152" s="9" t="str" cm="1">
        <f t="array" ref="Q152">_xlfn.IFS([1]!BTC_data[[#This Row],[HourUTC]]&lt;8,"Asia",[1]!BTC_data[[#This Row],[HourUTC]]&lt;13,"London",[1]!BTC_data[[#This Row],[HourUTC]]&lt;21,"New York",TRUE,"AfterHours")</f>
        <v>London</v>
      </c>
    </row>
    <row r="153" spans="1:17" x14ac:dyDescent="0.3">
      <c r="A153" s="10">
        <v>93622.1</v>
      </c>
      <c r="B153" s="10">
        <v>93701.6</v>
      </c>
      <c r="C153" s="10">
        <v>32677</v>
      </c>
      <c r="D153" s="10">
        <v>34.88195494</v>
      </c>
      <c r="E153" s="10">
        <v>605</v>
      </c>
      <c r="F153" s="10">
        <v>13935</v>
      </c>
      <c r="G153" s="10">
        <v>14.87599303</v>
      </c>
      <c r="H153" s="10">
        <f>[1]!BTC_data[[#This Row],[high]]-[1]!BTC_data[[#This Row],[low]]</f>
        <v>116.59999999999127</v>
      </c>
      <c r="I153" s="11">
        <f>[1]!BTC_data[[#This Row],[CandleRange]]/[1]!BTC_data[[#This Row],[open]]</f>
        <v>1.2447065278771699E-3</v>
      </c>
      <c r="J153" s="12">
        <f>ABS([1]!BTC_data[[#This Row],[open]]-[1]!BTC_data[[#This Row],[close]])</f>
        <v>24.900000000008731</v>
      </c>
      <c r="K153" s="11">
        <f>[1]!BTC_data[[#This Row],[CandleBody]]/[1]!BTC_data[[#This Row],[open]]</f>
        <v>2.6580782627919997E-4</v>
      </c>
      <c r="L153" s="13">
        <f>IF([1]!BTC_data[[#This Row],[CandleRange]]&gt;0,([1]!BTC_data[[#This Row],[close]]-[1]!BTC_data[[#This Row],[low]])/[1]!BTC_data[[#This Row],[CandleRange]],"")</f>
        <v>0.68181818181823284</v>
      </c>
      <c r="M153" s="13">
        <f>IF([1]!BTC_data[[#This Row],[quote_volume]]&gt;0,[1]!BTC_data[[#This Row],[taker_buy_quote_volume]]/[1]!BTC_data[[#This Row],[quote_volume]],"")</f>
        <v>0.42646672342728509</v>
      </c>
      <c r="N153" t="str" cm="1">
        <f t="array" ref="N153">_xlfn.IFS([1]!BTC_data[[#This Row],[open]]-[1]!BTC_data[[#This Row],[close]]&gt;0,"Bearish",[1]!BTC_data[[#This Row],[open]]-[1]!BTC_data[[#This Row],[close]]&lt;0,"Bullish",TRUE,"Neutral")</f>
        <v>Bullish</v>
      </c>
      <c r="O153" s="13">
        <f>IF([1]!BTC_data[[#This Row],[CandleRange]]&gt;0,[1]!BTC_data[[#This Row],[CandleBody]]/[1]!BTC_data[[#This Row],[CandleRange]],"")</f>
        <v>0.21355060034314405</v>
      </c>
      <c r="P153" s="9" t="str" cm="1">
        <f t="array" ref="P153">_xlfn.IFS([1]!BTC_data[[#This Row],[BodyToRangeRatio]]&gt;=0.7,"Directional",[1]!BTC_data[[#This Row],[BodyToRangeRatio]]&lt;=0.3,"Indecision",TRUE,"Mixed")</f>
        <v>Indecision</v>
      </c>
      <c r="Q153" s="9" t="str" cm="1">
        <f t="array" ref="Q153">_xlfn.IFS([1]!BTC_data[[#This Row],[HourUTC]]&lt;8,"Asia",[1]!BTC_data[[#This Row],[HourUTC]]&lt;13,"London",[1]!BTC_data[[#This Row],[HourUTC]]&lt;21,"New York",TRUE,"AfterHours")</f>
        <v>London</v>
      </c>
    </row>
    <row r="154" spans="1:17" x14ac:dyDescent="0.3">
      <c r="A154" s="5">
        <v>93642.6</v>
      </c>
      <c r="B154" s="5">
        <v>93648.1</v>
      </c>
      <c r="C154" s="5">
        <v>25519</v>
      </c>
      <c r="D154" s="5">
        <v>27.228206950000001</v>
      </c>
      <c r="E154" s="5">
        <v>484</v>
      </c>
      <c r="F154" s="5">
        <v>15730</v>
      </c>
      <c r="G154" s="5">
        <v>16.78214878</v>
      </c>
      <c r="H154" s="5">
        <f>[1]!BTC_data[[#This Row],[high]]-[1]!BTC_data[[#This Row],[low]]</f>
        <v>99.69999999999709</v>
      </c>
      <c r="I154" s="6">
        <f>[1]!BTC_data[[#This Row],[CandleRange]]/[1]!BTC_data[[#This Row],[open]]</f>
        <v>1.0639614796854548E-3</v>
      </c>
      <c r="J154" s="7">
        <f>ABS([1]!BTC_data[[#This Row],[open]]-[1]!BTC_data[[#This Row],[close]])</f>
        <v>58.299999999988358</v>
      </c>
      <c r="K154" s="6">
        <f>[1]!BTC_data[[#This Row],[CandleBody]]/[1]!BTC_data[[#This Row],[open]]</f>
        <v>6.2215601068858013E-4</v>
      </c>
      <c r="L154" s="8">
        <f>IF([1]!BTC_data[[#This Row],[CandleRange]]&gt;0,([1]!BTC_data[[#This Row],[close]]-[1]!BTC_data[[#This Row],[low]])/[1]!BTC_data[[#This Row],[CandleRange]],"")</f>
        <v>5.5165496489470014E-2</v>
      </c>
      <c r="M154" s="8">
        <f>IF([1]!BTC_data[[#This Row],[quote_volume]]&gt;0,[1]!BTC_data[[#This Row],[taker_buy_quote_volume]]/[1]!BTC_data[[#This Row],[quote_volume]],"")</f>
        <v>0.6163515949036813</v>
      </c>
      <c r="N154" t="str" cm="1">
        <f t="array" ref="N154">_xlfn.IFS([1]!BTC_data[[#This Row],[open]]-[1]!BTC_data[[#This Row],[close]]&gt;0,"Bearish",[1]!BTC_data[[#This Row],[open]]-[1]!BTC_data[[#This Row],[close]]&lt;0,"Bullish",TRUE,"Neutral")</f>
        <v>Bearish</v>
      </c>
      <c r="O154" s="8">
        <f>IF([1]!BTC_data[[#This Row],[CandleRange]]&gt;0,[1]!BTC_data[[#This Row],[CandleBody]]/[1]!BTC_data[[#This Row],[CandleRange]],"")</f>
        <v>0.58475426278826537</v>
      </c>
      <c r="P154" s="9" t="str" cm="1">
        <f t="array" ref="P154">_xlfn.IFS([1]!BTC_data[[#This Row],[BodyToRangeRatio]]&gt;=0.7,"Directional",[1]!BTC_data[[#This Row],[BodyToRangeRatio]]&lt;=0.3,"Indecision",TRUE,"Mixed")</f>
        <v>Mixed</v>
      </c>
      <c r="Q154" s="9" t="str" cm="1">
        <f t="array" ref="Q154">_xlfn.IFS([1]!BTC_data[[#This Row],[HourUTC]]&lt;8,"Asia",[1]!BTC_data[[#This Row],[HourUTC]]&lt;13,"London",[1]!BTC_data[[#This Row],[HourUTC]]&lt;21,"New York",TRUE,"AfterHours")</f>
        <v>London</v>
      </c>
    </row>
    <row r="155" spans="1:17" x14ac:dyDescent="0.3">
      <c r="A155" s="10">
        <v>93569.3</v>
      </c>
      <c r="B155" s="10">
        <v>93581.8</v>
      </c>
      <c r="C155" s="10">
        <v>15994</v>
      </c>
      <c r="D155" s="10">
        <v>17.085783760000002</v>
      </c>
      <c r="E155" s="10">
        <v>509</v>
      </c>
      <c r="F155" s="10">
        <v>5127</v>
      </c>
      <c r="G155" s="10">
        <v>5.4779436099999996</v>
      </c>
      <c r="H155" s="10">
        <f>[1]!BTC_data[[#This Row],[high]]-[1]!BTC_data[[#This Row],[low]]</f>
        <v>81.80000000000291</v>
      </c>
      <c r="I155" s="11">
        <f>[1]!BTC_data[[#This Row],[CandleRange]]/[1]!BTC_data[[#This Row],[open]]</f>
        <v>8.7348275085135632E-4</v>
      </c>
      <c r="J155" s="12">
        <f>ABS([1]!BTC_data[[#This Row],[open]]-[1]!BTC_data[[#This Row],[close]])</f>
        <v>66.30000000000291</v>
      </c>
      <c r="K155" s="11">
        <f>[1]!BTC_data[[#This Row],[CandleBody]]/[1]!BTC_data[[#This Row],[open]]</f>
        <v>7.0796951566559174E-4</v>
      </c>
      <c r="L155" s="13">
        <f>IF([1]!BTC_data[[#This Row],[CandleRange]]&gt;0,([1]!BTC_data[[#This Row],[close]]-[1]!BTC_data[[#This Row],[low]])/[1]!BTC_data[[#This Row],[CandleRange]],"")</f>
        <v>0.15281173594131486</v>
      </c>
      <c r="M155" s="13">
        <f>IF([1]!BTC_data[[#This Row],[quote_volume]]&gt;0,[1]!BTC_data[[#This Row],[taker_buy_quote_volume]]/[1]!BTC_data[[#This Row],[quote_volume]],"")</f>
        <v>0.32061412499112646</v>
      </c>
      <c r="N155" t="str" cm="1">
        <f t="array" ref="N155">_xlfn.IFS([1]!BTC_data[[#This Row],[open]]-[1]!BTC_data[[#This Row],[close]]&gt;0,"Bearish",[1]!BTC_data[[#This Row],[open]]-[1]!BTC_data[[#This Row],[close]]&lt;0,"Bullish",TRUE,"Neutral")</f>
        <v>Bearish</v>
      </c>
      <c r="O155" s="13">
        <f>IF([1]!BTC_data[[#This Row],[CandleRange]]&gt;0,[1]!BTC_data[[#This Row],[CandleBody]]/[1]!BTC_data[[#This Row],[CandleRange]],"")</f>
        <v>0.81051344743276954</v>
      </c>
      <c r="P155" s="9" t="str" cm="1">
        <f t="array" ref="P155">_xlfn.IFS([1]!BTC_data[[#This Row],[BodyToRangeRatio]]&gt;=0.7,"Directional",[1]!BTC_data[[#This Row],[BodyToRangeRatio]]&lt;=0.3,"Indecision",TRUE,"Mixed")</f>
        <v>Directional</v>
      </c>
      <c r="Q155" s="9" t="str" cm="1">
        <f t="array" ref="Q155">_xlfn.IFS([1]!BTC_data[[#This Row],[HourUTC]]&lt;8,"Asia",[1]!BTC_data[[#This Row],[HourUTC]]&lt;13,"London",[1]!BTC_data[[#This Row],[HourUTC]]&lt;21,"New York",TRUE,"AfterHours")</f>
        <v>London</v>
      </c>
    </row>
    <row r="156" spans="1:17" x14ac:dyDescent="0.3">
      <c r="A156" s="5">
        <v>93562.1</v>
      </c>
      <c r="B156" s="5">
        <v>93634.4</v>
      </c>
      <c r="C156" s="5">
        <v>11650</v>
      </c>
      <c r="D156" s="5">
        <v>12.448391170000001</v>
      </c>
      <c r="E156" s="5">
        <v>454</v>
      </c>
      <c r="F156" s="5">
        <v>6771</v>
      </c>
      <c r="G156" s="5">
        <v>7.2347276699999998</v>
      </c>
      <c r="H156" s="5">
        <f>[1]!BTC_data[[#This Row],[high]]-[1]!BTC_data[[#This Row],[low]]</f>
        <v>72.299999999988358</v>
      </c>
      <c r="I156" s="6">
        <f>[1]!BTC_data[[#This Row],[CandleRange]]/[1]!BTC_data[[#This Row],[open]]</f>
        <v>7.7258694808908534E-4</v>
      </c>
      <c r="J156" s="7">
        <f>ABS([1]!BTC_data[[#This Row],[open]]-[1]!BTC_data[[#This Row],[close]])</f>
        <v>52.69999999999709</v>
      </c>
      <c r="K156" s="6">
        <f>[1]!BTC_data[[#This Row],[CandleBody]]/[1]!BTC_data[[#This Row],[open]]</f>
        <v>5.6314428996264321E-4</v>
      </c>
      <c r="L156" s="8">
        <f>IF([1]!BTC_data[[#This Row],[CandleRange]]&gt;0,([1]!BTC_data[[#This Row],[close]]-[1]!BTC_data[[#This Row],[low]])/[1]!BTC_data[[#This Row],[CandleRange]],"")</f>
        <v>1</v>
      </c>
      <c r="M156" s="8">
        <f>IF([1]!BTC_data[[#This Row],[quote_volume]]&gt;0,[1]!BTC_data[[#This Row],[taker_buy_quote_volume]]/[1]!BTC_data[[#This Row],[quote_volume]],"")</f>
        <v>0.58117772579603144</v>
      </c>
      <c r="N156" t="str" cm="1">
        <f t="array" ref="N156">_xlfn.IFS([1]!BTC_data[[#This Row],[open]]-[1]!BTC_data[[#This Row],[close]]&gt;0,"Bearish",[1]!BTC_data[[#This Row],[open]]-[1]!BTC_data[[#This Row],[close]]&lt;0,"Bullish",TRUE,"Neutral")</f>
        <v>Bullish</v>
      </c>
      <c r="O156" s="8">
        <f>IF([1]!BTC_data[[#This Row],[CandleRange]]&gt;0,[1]!BTC_data[[#This Row],[CandleBody]]/[1]!BTC_data[[#This Row],[CandleRange]],"")</f>
        <v>0.72890733056715873</v>
      </c>
      <c r="P156" s="9" t="str" cm="1">
        <f t="array" ref="P156">_xlfn.IFS([1]!BTC_data[[#This Row],[BodyToRangeRatio]]&gt;=0.7,"Directional",[1]!BTC_data[[#This Row],[BodyToRangeRatio]]&lt;=0.3,"Indecision",TRUE,"Mixed")</f>
        <v>Directional</v>
      </c>
      <c r="Q156" s="9" t="str" cm="1">
        <f t="array" ref="Q156">_xlfn.IFS([1]!BTC_data[[#This Row],[HourUTC]]&lt;8,"Asia",[1]!BTC_data[[#This Row],[HourUTC]]&lt;13,"London",[1]!BTC_data[[#This Row],[HourUTC]]&lt;21,"New York",TRUE,"AfterHours")</f>
        <v>London</v>
      </c>
    </row>
    <row r="157" spans="1:17" x14ac:dyDescent="0.3">
      <c r="A157" s="10">
        <v>93635.199999999997</v>
      </c>
      <c r="B157" s="10">
        <v>93687</v>
      </c>
      <c r="C157" s="10">
        <v>18410</v>
      </c>
      <c r="D157" s="10">
        <v>19.652472899999999</v>
      </c>
      <c r="E157" s="10">
        <v>305</v>
      </c>
      <c r="F157" s="10">
        <v>10876</v>
      </c>
      <c r="G157" s="10">
        <v>11.611991059999999</v>
      </c>
      <c r="H157" s="10">
        <f>[1]!BTC_data[[#This Row],[high]]-[1]!BTC_data[[#This Row],[low]]</f>
        <v>81</v>
      </c>
      <c r="I157" s="11">
        <f>[1]!BTC_data[[#This Row],[CandleRange]]/[1]!BTC_data[[#This Row],[open]]</f>
        <v>8.6505929394074029E-4</v>
      </c>
      <c r="J157" s="12">
        <f>ABS([1]!BTC_data[[#This Row],[open]]-[1]!BTC_data[[#This Row],[close]])</f>
        <v>51.80000000000291</v>
      </c>
      <c r="K157" s="11">
        <f>[1]!BTC_data[[#This Row],[CandleBody]]/[1]!BTC_data[[#This Row],[open]]</f>
        <v>5.5321075834731935E-4</v>
      </c>
      <c r="L157" s="13">
        <f>IF([1]!BTC_data[[#This Row],[CandleRange]]&gt;0,([1]!BTC_data[[#This Row],[close]]-[1]!BTC_data[[#This Row],[low]])/[1]!BTC_data[[#This Row],[CandleRange]],"")</f>
        <v>0.63950617283954214</v>
      </c>
      <c r="M157" s="13">
        <f>IF([1]!BTC_data[[#This Row],[quote_volume]]&gt;0,[1]!BTC_data[[#This Row],[taker_buy_quote_volume]]/[1]!BTC_data[[#This Row],[quote_volume]],"")</f>
        <v>0.59086666187439441</v>
      </c>
      <c r="N157" t="str" cm="1">
        <f t="array" ref="N157">_xlfn.IFS([1]!BTC_data[[#This Row],[open]]-[1]!BTC_data[[#This Row],[close]]&gt;0,"Bearish",[1]!BTC_data[[#This Row],[open]]-[1]!BTC_data[[#This Row],[close]]&lt;0,"Bullish",TRUE,"Neutral")</f>
        <v>Bullish</v>
      </c>
      <c r="O157" s="13">
        <f>IF([1]!BTC_data[[#This Row],[CandleRange]]&gt;0,[1]!BTC_data[[#This Row],[CandleBody]]/[1]!BTC_data[[#This Row],[CandleRange]],"")</f>
        <v>0.63950617283954214</v>
      </c>
      <c r="P157" s="9" t="str" cm="1">
        <f t="array" ref="P157">_xlfn.IFS([1]!BTC_data[[#This Row],[BodyToRangeRatio]]&gt;=0.7,"Directional",[1]!BTC_data[[#This Row],[BodyToRangeRatio]]&lt;=0.3,"Indecision",TRUE,"Mixed")</f>
        <v>Mixed</v>
      </c>
      <c r="Q157" s="9" t="str" cm="1">
        <f t="array" ref="Q157">_xlfn.IFS([1]!BTC_data[[#This Row],[HourUTC]]&lt;8,"Asia",[1]!BTC_data[[#This Row],[HourUTC]]&lt;13,"London",[1]!BTC_data[[#This Row],[HourUTC]]&lt;21,"New York",TRUE,"AfterHours")</f>
        <v>London</v>
      </c>
    </row>
    <row r="158" spans="1:17" x14ac:dyDescent="0.3">
      <c r="A158" s="5">
        <v>93637.8</v>
      </c>
      <c r="B158" s="5">
        <v>93760.4</v>
      </c>
      <c r="C158" s="5">
        <v>36957</v>
      </c>
      <c r="D158" s="5">
        <v>39.44487969</v>
      </c>
      <c r="E158" s="5">
        <v>622</v>
      </c>
      <c r="F158" s="5">
        <v>25375</v>
      </c>
      <c r="G158" s="5">
        <v>27.081753240000001</v>
      </c>
      <c r="H158" s="5">
        <f>[1]!BTC_data[[#This Row],[high]]-[1]!BTC_data[[#This Row],[low]]</f>
        <v>122.59999999999127</v>
      </c>
      <c r="I158" s="6">
        <f>[1]!BTC_data[[#This Row],[CandleRange]]/[1]!BTC_data[[#This Row],[open]]</f>
        <v>1.3086909461215489E-3</v>
      </c>
      <c r="J158" s="7">
        <f>ABS([1]!BTC_data[[#This Row],[open]]-[1]!BTC_data[[#This Row],[close]])</f>
        <v>79</v>
      </c>
      <c r="K158" s="6">
        <f>[1]!BTC_data[[#This Row],[CandleBody]]/[1]!BTC_data[[#This Row],[open]]</f>
        <v>8.4328372547805655E-4</v>
      </c>
      <c r="L158" s="8">
        <f>IF([1]!BTC_data[[#This Row],[CandleRange]]&gt;0,([1]!BTC_data[[#This Row],[close]]-[1]!BTC_data[[#This Row],[low]])/[1]!BTC_data[[#This Row],[CandleRange]],"")</f>
        <v>1</v>
      </c>
      <c r="M158" s="8">
        <f>IF([1]!BTC_data[[#This Row],[quote_volume]]&gt;0,[1]!BTC_data[[#This Row],[taker_buy_quote_volume]]/[1]!BTC_data[[#This Row],[quote_volume]],"")</f>
        <v>0.68657208369850142</v>
      </c>
      <c r="N158" t="str" cm="1">
        <f t="array" ref="N158">_xlfn.IFS([1]!BTC_data[[#This Row],[open]]-[1]!BTC_data[[#This Row],[close]]&gt;0,"Bearish",[1]!BTC_data[[#This Row],[open]]-[1]!BTC_data[[#This Row],[close]]&lt;0,"Bullish",TRUE,"Neutral")</f>
        <v>Bullish</v>
      </c>
      <c r="O158" s="8">
        <f>IF([1]!BTC_data[[#This Row],[CandleRange]]&gt;0,[1]!BTC_data[[#This Row],[CandleBody]]/[1]!BTC_data[[#This Row],[CandleRange]],"")</f>
        <v>0.64437194127247654</v>
      </c>
      <c r="P158" s="9" t="str" cm="1">
        <f t="array" ref="P158">_xlfn.IFS([1]!BTC_data[[#This Row],[BodyToRangeRatio]]&gt;=0.7,"Directional",[1]!BTC_data[[#This Row],[BodyToRangeRatio]]&lt;=0.3,"Indecision",TRUE,"Mixed")</f>
        <v>Mixed</v>
      </c>
      <c r="Q158" s="9" t="str" cm="1">
        <f t="array" ref="Q158">_xlfn.IFS([1]!BTC_data[[#This Row],[HourUTC]]&lt;8,"Asia",[1]!BTC_data[[#This Row],[HourUTC]]&lt;13,"London",[1]!BTC_data[[#This Row],[HourUTC]]&lt;21,"New York",TRUE,"AfterHours")</f>
        <v>New York</v>
      </c>
    </row>
    <row r="159" spans="1:17" x14ac:dyDescent="0.3">
      <c r="A159" s="10">
        <v>93543.9</v>
      </c>
      <c r="B159" s="10">
        <v>93547.6</v>
      </c>
      <c r="C159" s="10">
        <v>31100</v>
      </c>
      <c r="D159" s="10">
        <v>33.197410679999997</v>
      </c>
      <c r="E159" s="10">
        <v>660</v>
      </c>
      <c r="F159" s="10">
        <v>10876</v>
      </c>
      <c r="G159" s="10">
        <v>11.60929462</v>
      </c>
      <c r="H159" s="10">
        <f>[1]!BTC_data[[#This Row],[high]]-[1]!BTC_data[[#This Row],[low]]</f>
        <v>219</v>
      </c>
      <c r="I159" s="11">
        <f>[1]!BTC_data[[#This Row],[CandleRange]]/[1]!BTC_data[[#This Row],[open]]</f>
        <v>2.3357408884774385E-3</v>
      </c>
      <c r="J159" s="12">
        <f>ABS([1]!BTC_data[[#This Row],[open]]-[1]!BTC_data[[#This Row],[close]])</f>
        <v>212.79999999998836</v>
      </c>
      <c r="K159" s="11">
        <f>[1]!BTC_data[[#This Row],[CandleBody]]/[1]!BTC_data[[#This Row],[open]]</f>
        <v>2.2696148907213319E-3</v>
      </c>
      <c r="L159" s="13">
        <f>IF([1]!BTC_data[[#This Row],[CandleRange]]&gt;0,([1]!BTC_data[[#This Row],[close]]-[1]!BTC_data[[#This Row],[low]])/[1]!BTC_data[[#This Row],[CandleRange]],"")</f>
        <v>1.6894977169002928E-2</v>
      </c>
      <c r="M159" s="13">
        <f>IF([1]!BTC_data[[#This Row],[quote_volume]]&gt;0,[1]!BTC_data[[#This Row],[taker_buy_quote_volume]]/[1]!BTC_data[[#This Row],[quote_volume]],"")</f>
        <v>0.34970482282204307</v>
      </c>
      <c r="N159" t="str" cm="1">
        <f t="array" ref="N159">_xlfn.IFS([1]!BTC_data[[#This Row],[open]]-[1]!BTC_data[[#This Row],[close]]&gt;0,"Bearish",[1]!BTC_data[[#This Row],[open]]-[1]!BTC_data[[#This Row],[close]]&lt;0,"Bullish",TRUE,"Neutral")</f>
        <v>Bearish</v>
      </c>
      <c r="O159" s="13">
        <f>IF([1]!BTC_data[[#This Row],[CandleRange]]&gt;0,[1]!BTC_data[[#This Row],[CandleBody]]/[1]!BTC_data[[#This Row],[CandleRange]],"")</f>
        <v>0.97168949771684177</v>
      </c>
      <c r="P159" s="9" t="str" cm="1">
        <f t="array" ref="P159">_xlfn.IFS([1]!BTC_data[[#This Row],[BodyToRangeRatio]]&gt;=0.7,"Directional",[1]!BTC_data[[#This Row],[BodyToRangeRatio]]&lt;=0.3,"Indecision",TRUE,"Mixed")</f>
        <v>Directional</v>
      </c>
      <c r="Q159" s="9" t="str" cm="1">
        <f t="array" ref="Q159">_xlfn.IFS([1]!BTC_data[[#This Row],[HourUTC]]&lt;8,"Asia",[1]!BTC_data[[#This Row],[HourUTC]]&lt;13,"London",[1]!BTC_data[[#This Row],[HourUTC]]&lt;21,"New York",TRUE,"AfterHours")</f>
        <v>New York</v>
      </c>
    </row>
    <row r="160" spans="1:17" x14ac:dyDescent="0.3">
      <c r="A160" s="5">
        <v>93503.4</v>
      </c>
      <c r="B160" s="5">
        <v>93524.1</v>
      </c>
      <c r="C160" s="5">
        <v>32305</v>
      </c>
      <c r="D160" s="5">
        <v>34.537347169999997</v>
      </c>
      <c r="E160" s="5">
        <v>617</v>
      </c>
      <c r="F160" s="5">
        <v>17228</v>
      </c>
      <c r="G160" s="5">
        <v>18.419737680000001</v>
      </c>
      <c r="H160" s="5">
        <f>[1]!BTC_data[[#This Row],[high]]-[1]!BTC_data[[#This Row],[low]]</f>
        <v>71.5</v>
      </c>
      <c r="I160" s="6">
        <f>[1]!BTC_data[[#This Row],[CandleRange]]/[1]!BTC_data[[#This Row],[open]]</f>
        <v>7.6434864133020182E-4</v>
      </c>
      <c r="J160" s="7">
        <f>ABS([1]!BTC_data[[#This Row],[open]]-[1]!BTC_data[[#This Row],[close]])</f>
        <v>19.599999999991269</v>
      </c>
      <c r="K160" s="6">
        <f>[1]!BTC_data[[#This Row],[CandleBody]]/[1]!BTC_data[[#This Row],[open]]</f>
        <v>2.0952773944147248E-4</v>
      </c>
      <c r="L160" s="8">
        <f>IF([1]!BTC_data[[#This Row],[CandleRange]]&gt;0,([1]!BTC_data[[#This Row],[close]]-[1]!BTC_data[[#This Row],[low]])/[1]!BTC_data[[#This Row],[CandleRange]],"")</f>
        <v>0.28951048951065234</v>
      </c>
      <c r="M160" s="8">
        <f>IF([1]!BTC_data[[#This Row],[quote_volume]]&gt;0,[1]!BTC_data[[#This Row],[taker_buy_quote_volume]]/[1]!BTC_data[[#This Row],[quote_volume]],"")</f>
        <v>0.53332809811171156</v>
      </c>
      <c r="N160" t="str" cm="1">
        <f t="array" ref="N160">_xlfn.IFS([1]!BTC_data[[#This Row],[open]]-[1]!BTC_data[[#This Row],[close]]&gt;0,"Bearish",[1]!BTC_data[[#This Row],[open]]-[1]!BTC_data[[#This Row],[close]]&lt;0,"Bullish",TRUE,"Neutral")</f>
        <v>Bearish</v>
      </c>
      <c r="O160" s="8">
        <f>IF([1]!BTC_data[[#This Row],[CandleRange]]&gt;0,[1]!BTC_data[[#This Row],[CandleBody]]/[1]!BTC_data[[#This Row],[CandleRange]],"")</f>
        <v>0.27412587412575201</v>
      </c>
      <c r="P160" s="9" t="str" cm="1">
        <f t="array" ref="P160">_xlfn.IFS([1]!BTC_data[[#This Row],[BodyToRangeRatio]]&gt;=0.7,"Directional",[1]!BTC_data[[#This Row],[BodyToRangeRatio]]&lt;=0.3,"Indecision",TRUE,"Mixed")</f>
        <v>Indecision</v>
      </c>
      <c r="Q160" s="9" t="str" cm="1">
        <f t="array" ref="Q160">_xlfn.IFS([1]!BTC_data[[#This Row],[HourUTC]]&lt;8,"Asia",[1]!BTC_data[[#This Row],[HourUTC]]&lt;13,"London",[1]!BTC_data[[#This Row],[HourUTC]]&lt;21,"New York",TRUE,"AfterHours")</f>
        <v>New York</v>
      </c>
    </row>
    <row r="161" spans="1:17" x14ac:dyDescent="0.3">
      <c r="A161" s="10">
        <v>93475.1</v>
      </c>
      <c r="B161" s="10">
        <v>93553.4</v>
      </c>
      <c r="C161" s="10">
        <v>46811</v>
      </c>
      <c r="D161" s="10">
        <v>50.051176570000003</v>
      </c>
      <c r="E161" s="10">
        <v>752</v>
      </c>
      <c r="F161" s="10">
        <v>23597</v>
      </c>
      <c r="G161" s="10">
        <v>25.229486290000001</v>
      </c>
      <c r="H161" s="10">
        <f>[1]!BTC_data[[#This Row],[high]]-[1]!BTC_data[[#This Row],[low]]</f>
        <v>122.09999999999127</v>
      </c>
      <c r="I161" s="11">
        <f>[1]!BTC_data[[#This Row],[CandleRange]]/[1]!BTC_data[[#This Row],[open]]</f>
        <v>1.3055458432638352E-3</v>
      </c>
      <c r="J161" s="12">
        <f>ABS([1]!BTC_data[[#This Row],[open]]-[1]!BTC_data[[#This Row],[close]])</f>
        <v>29.299999999988358</v>
      </c>
      <c r="K161" s="11">
        <f>[1]!BTC_data[[#This Row],[CandleBody]]/[1]!BTC_data[[#This Row],[open]]</f>
        <v>3.1328823265862338E-4</v>
      </c>
      <c r="L161" s="13">
        <f>IF([1]!BTC_data[[#This Row],[CandleRange]]&gt;0,([1]!BTC_data[[#This Row],[close]]-[1]!BTC_data[[#This Row],[low]])/[1]!BTC_data[[#This Row],[CandleRange]],"")</f>
        <v>0.64127764127759179</v>
      </c>
      <c r="M161" s="13">
        <f>IF([1]!BTC_data[[#This Row],[quote_volume]]&gt;0,[1]!BTC_data[[#This Row],[taker_buy_quote_volume]]/[1]!BTC_data[[#This Row],[quote_volume]],"")</f>
        <v>0.50407379044755984</v>
      </c>
      <c r="N161" t="str" cm="1">
        <f t="array" ref="N161">_xlfn.IFS([1]!BTC_data[[#This Row],[open]]-[1]!BTC_data[[#This Row],[close]]&gt;0,"Bearish",[1]!BTC_data[[#This Row],[open]]-[1]!BTC_data[[#This Row],[close]]&lt;0,"Bullish",TRUE,"Neutral")</f>
        <v>Bullish</v>
      </c>
      <c r="O161" s="13">
        <f>IF([1]!BTC_data[[#This Row],[CandleRange]]&gt;0,[1]!BTC_data[[#This Row],[CandleBody]]/[1]!BTC_data[[#This Row],[CandleRange]],"")</f>
        <v>0.23996723996716179</v>
      </c>
      <c r="P161" s="9" t="str" cm="1">
        <f t="array" ref="P161">_xlfn.IFS([1]!BTC_data[[#This Row],[BodyToRangeRatio]]&gt;=0.7,"Directional",[1]!BTC_data[[#This Row],[BodyToRangeRatio]]&lt;=0.3,"Indecision",TRUE,"Mixed")</f>
        <v>Indecision</v>
      </c>
      <c r="Q161" s="9" t="str" cm="1">
        <f t="array" ref="Q161">_xlfn.IFS([1]!BTC_data[[#This Row],[HourUTC]]&lt;8,"Asia",[1]!BTC_data[[#This Row],[HourUTC]]&lt;13,"London",[1]!BTC_data[[#This Row],[HourUTC]]&lt;21,"New York",TRUE,"AfterHours")</f>
        <v>New York</v>
      </c>
    </row>
    <row r="162" spans="1:17" x14ac:dyDescent="0.3">
      <c r="A162" s="5">
        <v>93462.9</v>
      </c>
      <c r="B162" s="5">
        <v>93510.7</v>
      </c>
      <c r="C162" s="5">
        <v>35782</v>
      </c>
      <c r="D162" s="5">
        <v>38.261937850000002</v>
      </c>
      <c r="E162" s="5">
        <v>602</v>
      </c>
      <c r="F162" s="5">
        <v>15429</v>
      </c>
      <c r="G162" s="5">
        <v>16.498017560000001</v>
      </c>
      <c r="H162" s="5">
        <f>[1]!BTC_data[[#This Row],[high]]-[1]!BTC_data[[#This Row],[low]]</f>
        <v>119.30000000000291</v>
      </c>
      <c r="I162" s="6">
        <f>[1]!BTC_data[[#This Row],[CandleRange]]/[1]!BTC_data[[#This Row],[open]]</f>
        <v>1.2752075285345367E-3</v>
      </c>
      <c r="J162" s="7">
        <f>ABS([1]!BTC_data[[#This Row],[open]]-[1]!BTC_data[[#This Row],[close]])</f>
        <v>42.69999999999709</v>
      </c>
      <c r="K162" s="6">
        <f>[1]!BTC_data[[#This Row],[CandleBody]]/[1]!BTC_data[[#This Row],[open]]</f>
        <v>4.5642381784090255E-4</v>
      </c>
      <c r="L162" s="8">
        <f>IF([1]!BTC_data[[#This Row],[CandleRange]]&gt;0,([1]!BTC_data[[#This Row],[close]]-[1]!BTC_data[[#This Row],[low]])/[1]!BTC_data[[#This Row],[CandleRange]],"")</f>
        <v>0.40067057837386205</v>
      </c>
      <c r="M162" s="8">
        <f>IF([1]!BTC_data[[#This Row],[quote_volume]]&gt;0,[1]!BTC_data[[#This Row],[taker_buy_quote_volume]]/[1]!BTC_data[[#This Row],[quote_volume]],"")</f>
        <v>0.43118614704456221</v>
      </c>
      <c r="N162" t="str" cm="1">
        <f t="array" ref="N162">_xlfn.IFS([1]!BTC_data[[#This Row],[open]]-[1]!BTC_data[[#This Row],[close]]&gt;0,"Bearish",[1]!BTC_data[[#This Row],[open]]-[1]!BTC_data[[#This Row],[close]]&lt;0,"Bullish",TRUE,"Neutral")</f>
        <v>Bearish</v>
      </c>
      <c r="O162" s="8">
        <f>IF([1]!BTC_data[[#This Row],[CandleRange]]&gt;0,[1]!BTC_data[[#This Row],[CandleBody]]/[1]!BTC_data[[#This Row],[CandleRange]],"")</f>
        <v>0.3579212070410398</v>
      </c>
      <c r="P162" s="9" t="str" cm="1">
        <f t="array" ref="P162">_xlfn.IFS([1]!BTC_data[[#This Row],[BodyToRangeRatio]]&gt;=0.7,"Directional",[1]!BTC_data[[#This Row],[BodyToRangeRatio]]&lt;=0.3,"Indecision",TRUE,"Mixed")</f>
        <v>Mixed</v>
      </c>
      <c r="Q162" s="9" t="str" cm="1">
        <f t="array" ref="Q162">_xlfn.IFS([1]!BTC_data[[#This Row],[HourUTC]]&lt;8,"Asia",[1]!BTC_data[[#This Row],[HourUTC]]&lt;13,"London",[1]!BTC_data[[#This Row],[HourUTC]]&lt;21,"New York",TRUE,"AfterHours")</f>
        <v>New York</v>
      </c>
    </row>
    <row r="163" spans="1:17" x14ac:dyDescent="0.3">
      <c r="A163" s="10">
        <v>93504.2</v>
      </c>
      <c r="B163" s="10">
        <v>93600</v>
      </c>
      <c r="C163" s="10">
        <v>44245</v>
      </c>
      <c r="D163" s="10">
        <v>47.278433749999998</v>
      </c>
      <c r="E163" s="10">
        <v>637</v>
      </c>
      <c r="F163" s="10">
        <v>31022</v>
      </c>
      <c r="G163" s="10">
        <v>33.14806308</v>
      </c>
      <c r="H163" s="10">
        <f>[1]!BTC_data[[#This Row],[high]]-[1]!BTC_data[[#This Row],[low]]</f>
        <v>164</v>
      </c>
      <c r="I163" s="11">
        <f>[1]!BTC_data[[#This Row],[CandleRange]]/[1]!BTC_data[[#This Row],[open]]</f>
        <v>1.7538099917977302E-3</v>
      </c>
      <c r="J163" s="12">
        <f>ABS([1]!BTC_data[[#This Row],[open]]-[1]!BTC_data[[#This Row],[close]])</f>
        <v>89.30000000000291</v>
      </c>
      <c r="K163" s="11">
        <f>[1]!BTC_data[[#This Row],[CandleBody]]/[1]!BTC_data[[#This Row],[open]]</f>
        <v>9.5497092846062444E-4</v>
      </c>
      <c r="L163" s="13">
        <f>IF([1]!BTC_data[[#This Row],[CandleRange]]&gt;0,([1]!BTC_data[[#This Row],[close]]-[1]!BTC_data[[#This Row],[low]])/[1]!BTC_data[[#This Row],[CandleRange]],"")</f>
        <v>0.58414634146343236</v>
      </c>
      <c r="M163" s="13">
        <f>IF([1]!BTC_data[[#This Row],[quote_volume]]&gt;0,[1]!BTC_data[[#This Row],[taker_buy_quote_volume]]/[1]!BTC_data[[#This Row],[quote_volume]],"")</f>
        <v>0.70112439120299752</v>
      </c>
      <c r="N163" t="str" cm="1">
        <f t="array" ref="N163">_xlfn.IFS([1]!BTC_data[[#This Row],[open]]-[1]!BTC_data[[#This Row],[close]]&gt;0,"Bearish",[1]!BTC_data[[#This Row],[open]]-[1]!BTC_data[[#This Row],[close]]&lt;0,"Bullish",TRUE,"Neutral")</f>
        <v>Bullish</v>
      </c>
      <c r="O163" s="13">
        <f>IF([1]!BTC_data[[#This Row],[CandleRange]]&gt;0,[1]!BTC_data[[#This Row],[CandleBody]]/[1]!BTC_data[[#This Row],[CandleRange]],"")</f>
        <v>0.54451219512196891</v>
      </c>
      <c r="P163" s="9" t="str" cm="1">
        <f t="array" ref="P163">_xlfn.IFS([1]!BTC_data[[#This Row],[BodyToRangeRatio]]&gt;=0.7,"Directional",[1]!BTC_data[[#This Row],[BodyToRangeRatio]]&lt;=0.3,"Indecision",TRUE,"Mixed")</f>
        <v>Mixed</v>
      </c>
      <c r="Q163" s="9" t="str" cm="1">
        <f t="array" ref="Q163">_xlfn.IFS([1]!BTC_data[[#This Row],[HourUTC]]&lt;8,"Asia",[1]!BTC_data[[#This Row],[HourUTC]]&lt;13,"London",[1]!BTC_data[[#This Row],[HourUTC]]&lt;21,"New York",TRUE,"AfterHours")</f>
        <v>New York</v>
      </c>
    </row>
    <row r="164" spans="1:17" x14ac:dyDescent="0.3">
      <c r="A164" s="5">
        <v>93594.5</v>
      </c>
      <c r="B164" s="5">
        <v>93728</v>
      </c>
      <c r="C164" s="5">
        <v>10290</v>
      </c>
      <c r="D164" s="5">
        <v>10.98448192</v>
      </c>
      <c r="E164" s="5">
        <v>392</v>
      </c>
      <c r="F164" s="5">
        <v>6685</v>
      </c>
      <c r="G164" s="5">
        <v>7.1364242899999999</v>
      </c>
      <c r="H164" s="5">
        <f>[1]!BTC_data[[#This Row],[high]]-[1]!BTC_data[[#This Row],[low]]</f>
        <v>145.39999999999418</v>
      </c>
      <c r="I164" s="6">
        <f>[1]!BTC_data[[#This Row],[CandleRange]]/[1]!BTC_data[[#This Row],[open]]</f>
        <v>1.5534188034187412E-3</v>
      </c>
      <c r="J164" s="7">
        <f>ABS([1]!BTC_data[[#This Row],[open]]-[1]!BTC_data[[#This Row],[close]])</f>
        <v>128</v>
      </c>
      <c r="K164" s="6">
        <f>[1]!BTC_data[[#This Row],[CandleBody]]/[1]!BTC_data[[#This Row],[open]]</f>
        <v>1.3675213675213675E-3</v>
      </c>
      <c r="L164" s="8">
        <f>IF([1]!BTC_data[[#This Row],[CandleRange]]&gt;0,([1]!BTC_data[[#This Row],[close]]-[1]!BTC_data[[#This Row],[low]])/[1]!BTC_data[[#This Row],[CandleRange]],"")</f>
        <v>0.91815680880333794</v>
      </c>
      <c r="M164" s="8">
        <f>IF([1]!BTC_data[[#This Row],[quote_volume]]&gt;0,[1]!BTC_data[[#This Row],[taker_buy_quote_volume]]/[1]!BTC_data[[#This Row],[quote_volume]],"")</f>
        <v>0.64968237391390782</v>
      </c>
      <c r="N164" t="str" cm="1">
        <f t="array" ref="N164">_xlfn.IFS([1]!BTC_data[[#This Row],[open]]-[1]!BTC_data[[#This Row],[close]]&gt;0,"Bearish",[1]!BTC_data[[#This Row],[open]]-[1]!BTC_data[[#This Row],[close]]&lt;0,"Bullish",TRUE,"Neutral")</f>
        <v>Bullish</v>
      </c>
      <c r="O164" s="8">
        <f>IF([1]!BTC_data[[#This Row],[CandleRange]]&gt;0,[1]!BTC_data[[#This Row],[CandleBody]]/[1]!BTC_data[[#This Row],[CandleRange]],"")</f>
        <v>0.88033012379645892</v>
      </c>
      <c r="P164" s="9" t="str" cm="1">
        <f t="array" ref="P164">_xlfn.IFS([1]!BTC_data[[#This Row],[BodyToRangeRatio]]&gt;=0.7,"Directional",[1]!BTC_data[[#This Row],[BodyToRangeRatio]]&lt;=0.3,"Indecision",TRUE,"Mixed")</f>
        <v>Directional</v>
      </c>
      <c r="Q164" s="9" t="str" cm="1">
        <f t="array" ref="Q164">_xlfn.IFS([1]!BTC_data[[#This Row],[HourUTC]]&lt;8,"Asia",[1]!BTC_data[[#This Row],[HourUTC]]&lt;13,"London",[1]!BTC_data[[#This Row],[HourUTC]]&lt;21,"New York",TRUE,"AfterHours")</f>
        <v>New York</v>
      </c>
    </row>
    <row r="165" spans="1:17" x14ac:dyDescent="0.3">
      <c r="A165" s="10">
        <v>93647</v>
      </c>
      <c r="B165" s="10">
        <v>93657.7</v>
      </c>
      <c r="C165" s="10">
        <v>34127</v>
      </c>
      <c r="D165" s="10">
        <v>36.421704239999997</v>
      </c>
      <c r="E165" s="10">
        <v>553</v>
      </c>
      <c r="F165" s="10">
        <v>13920</v>
      </c>
      <c r="G165" s="10">
        <v>14.85618616</v>
      </c>
      <c r="H165" s="10">
        <f>[1]!BTC_data[[#This Row],[high]]-[1]!BTC_data[[#This Row],[low]]</f>
        <v>122.39999999999418</v>
      </c>
      <c r="I165" s="11">
        <f>[1]!BTC_data[[#This Row],[CandleRange]]/[1]!BTC_data[[#This Row],[open]]</f>
        <v>1.3059064527141749E-3</v>
      </c>
      <c r="J165" s="12">
        <f>ABS([1]!BTC_data[[#This Row],[open]]-[1]!BTC_data[[#This Row],[close]])</f>
        <v>70.30000000000291</v>
      </c>
      <c r="K165" s="11">
        <f>[1]!BTC_data[[#This Row],[CandleBody]]/[1]!BTC_data[[#This Row],[open]]</f>
        <v>7.5004267668149233E-4</v>
      </c>
      <c r="L165" s="13">
        <f>IF([1]!BTC_data[[#This Row],[CandleRange]]&gt;0,([1]!BTC_data[[#This Row],[close]]-[1]!BTC_data[[#This Row],[low]])/[1]!BTC_data[[#This Row],[CandleRange]],"")</f>
        <v>8.7418300653575157E-2</v>
      </c>
      <c r="M165" s="13">
        <f>IF([1]!BTC_data[[#This Row],[quote_volume]]&gt;0,[1]!BTC_data[[#This Row],[taker_buy_quote_volume]]/[1]!BTC_data[[#This Row],[quote_volume]],"")</f>
        <v>0.40789376746638478</v>
      </c>
      <c r="N165" t="str" cm="1">
        <f t="array" ref="N165">_xlfn.IFS([1]!BTC_data[[#This Row],[open]]-[1]!BTC_data[[#This Row],[close]]&gt;0,"Bearish",[1]!BTC_data[[#This Row],[open]]-[1]!BTC_data[[#This Row],[close]]&lt;0,"Bullish",TRUE,"Neutral")</f>
        <v>Bearish</v>
      </c>
      <c r="O165" s="13">
        <f>IF([1]!BTC_data[[#This Row],[CandleRange]]&gt;0,[1]!BTC_data[[#This Row],[CandleBody]]/[1]!BTC_data[[#This Row],[CandleRange]],"")</f>
        <v>0.57434640522880931</v>
      </c>
      <c r="P165" s="9" t="str" cm="1">
        <f t="array" ref="P165">_xlfn.IFS([1]!BTC_data[[#This Row],[BodyToRangeRatio]]&gt;=0.7,"Directional",[1]!BTC_data[[#This Row],[BodyToRangeRatio]]&lt;=0.3,"Indecision",TRUE,"Mixed")</f>
        <v>Mixed</v>
      </c>
      <c r="Q165" s="9" t="str" cm="1">
        <f t="array" ref="Q165">_xlfn.IFS([1]!BTC_data[[#This Row],[HourUTC]]&lt;8,"Asia",[1]!BTC_data[[#This Row],[HourUTC]]&lt;13,"London",[1]!BTC_data[[#This Row],[HourUTC]]&lt;21,"New York",TRUE,"AfterHours")</f>
        <v>New York</v>
      </c>
    </row>
    <row r="166" spans="1:17" x14ac:dyDescent="0.3">
      <c r="A166" s="5">
        <v>93604.6</v>
      </c>
      <c r="B166" s="5">
        <v>93661</v>
      </c>
      <c r="C166" s="5">
        <v>14766</v>
      </c>
      <c r="D166" s="5">
        <v>15.76587956</v>
      </c>
      <c r="E166" s="5">
        <v>433</v>
      </c>
      <c r="F166" s="5">
        <v>7769</v>
      </c>
      <c r="G166" s="5">
        <v>8.2958632399999992</v>
      </c>
      <c r="H166" s="5">
        <f>[1]!BTC_data[[#This Row],[high]]-[1]!BTC_data[[#This Row],[low]]</f>
        <v>99.399999999994179</v>
      </c>
      <c r="I166" s="6">
        <f>[1]!BTC_data[[#This Row],[CandleRange]]/[1]!BTC_data[[#This Row],[open]]</f>
        <v>1.0613126964602356E-3</v>
      </c>
      <c r="J166" s="7">
        <f>ABS([1]!BTC_data[[#This Row],[open]]-[1]!BTC_data[[#This Row],[close]])</f>
        <v>3.3999999999941792</v>
      </c>
      <c r="K166" s="6">
        <f>[1]!BTC_data[[#This Row],[CandleBody]]/[1]!BTC_data[[#This Row],[open]]</f>
        <v>3.6302446357734762E-5</v>
      </c>
      <c r="L166" s="8">
        <f>IF([1]!BTC_data[[#This Row],[CandleRange]]&gt;0,([1]!BTC_data[[#This Row],[close]]-[1]!BTC_data[[#This Row],[low]])/[1]!BTC_data[[#This Row],[CandleRange]],"")</f>
        <v>0.56740442655933077</v>
      </c>
      <c r="M166" s="8">
        <f>IF([1]!BTC_data[[#This Row],[quote_volume]]&gt;0,[1]!BTC_data[[#This Row],[taker_buy_quote_volume]]/[1]!BTC_data[[#This Row],[quote_volume]],"")</f>
        <v>0.52619095613590994</v>
      </c>
      <c r="N166" t="str" cm="1">
        <f t="array" ref="N166">_xlfn.IFS([1]!BTC_data[[#This Row],[open]]-[1]!BTC_data[[#This Row],[close]]&gt;0,"Bearish",[1]!BTC_data[[#This Row],[open]]-[1]!BTC_data[[#This Row],[close]]&lt;0,"Bullish",TRUE,"Neutral")</f>
        <v>Bullish</v>
      </c>
      <c r="O166" s="8">
        <f>IF([1]!BTC_data[[#This Row],[CandleRange]]&gt;0,[1]!BTC_data[[#This Row],[CandleBody]]/[1]!BTC_data[[#This Row],[CandleRange]],"")</f>
        <v>3.4205231388273423E-2</v>
      </c>
      <c r="P166" s="9" t="str" cm="1">
        <f t="array" ref="P166">_xlfn.IFS([1]!BTC_data[[#This Row],[BodyToRangeRatio]]&gt;=0.7,"Directional",[1]!BTC_data[[#This Row],[BodyToRangeRatio]]&lt;=0.3,"Indecision",TRUE,"Mixed")</f>
        <v>Indecision</v>
      </c>
      <c r="Q166" s="9" t="str" cm="1">
        <f t="array" ref="Q166">_xlfn.IFS([1]!BTC_data[[#This Row],[HourUTC]]&lt;8,"Asia",[1]!BTC_data[[#This Row],[HourUTC]]&lt;13,"London",[1]!BTC_data[[#This Row],[HourUTC]]&lt;21,"New York",TRUE,"AfterHours")</f>
        <v>New York</v>
      </c>
    </row>
    <row r="167" spans="1:17" x14ac:dyDescent="0.3">
      <c r="A167" s="10">
        <v>93632.5</v>
      </c>
      <c r="B167" s="10">
        <v>93781</v>
      </c>
      <c r="C167" s="10">
        <v>26594</v>
      </c>
      <c r="D167" s="10">
        <v>28.380458130000001</v>
      </c>
      <c r="E167" s="10">
        <v>495</v>
      </c>
      <c r="F167" s="10">
        <v>17174</v>
      </c>
      <c r="G167" s="10">
        <v>18.3275696</v>
      </c>
      <c r="H167" s="10">
        <f>[1]!BTC_data[[#This Row],[high]]-[1]!BTC_data[[#This Row],[low]]</f>
        <v>148.69999999999709</v>
      </c>
      <c r="I167" s="11">
        <f>[1]!BTC_data[[#This Row],[CandleRange]]/[1]!BTC_data[[#This Row],[open]]</f>
        <v>1.5876405334130225E-3</v>
      </c>
      <c r="J167" s="12">
        <f>ABS([1]!BTC_data[[#This Row],[open]]-[1]!BTC_data[[#This Row],[close]])</f>
        <v>120</v>
      </c>
      <c r="K167" s="11">
        <f>[1]!BTC_data[[#This Row],[CandleBody]]/[1]!BTC_data[[#This Row],[open]]</f>
        <v>1.2812163013420741E-3</v>
      </c>
      <c r="L167" s="13">
        <f>IF([1]!BTC_data[[#This Row],[CandleRange]]&gt;0,([1]!BTC_data[[#This Row],[close]]-[1]!BTC_data[[#This Row],[low]])/[1]!BTC_data[[#This Row],[CandleRange]],"")</f>
        <v>0.99865501008744384</v>
      </c>
      <c r="M167" s="13">
        <f>IF([1]!BTC_data[[#This Row],[quote_volume]]&gt;0,[1]!BTC_data[[#This Row],[taker_buy_quote_volume]]/[1]!BTC_data[[#This Row],[quote_volume]],"")</f>
        <v>0.64578131600442912</v>
      </c>
      <c r="N167" t="str" cm="1">
        <f t="array" ref="N167">_xlfn.IFS([1]!BTC_data[[#This Row],[open]]-[1]!BTC_data[[#This Row],[close]]&gt;0,"Bearish",[1]!BTC_data[[#This Row],[open]]-[1]!BTC_data[[#This Row],[close]]&lt;0,"Bullish",TRUE,"Neutral")</f>
        <v>Bullish</v>
      </c>
      <c r="O167" s="13">
        <f>IF([1]!BTC_data[[#This Row],[CandleRange]]&gt;0,[1]!BTC_data[[#This Row],[CandleBody]]/[1]!BTC_data[[#This Row],[CandleRange]],"")</f>
        <v>0.80699394754540921</v>
      </c>
      <c r="P167" s="9" t="str" cm="1">
        <f t="array" ref="P167">_xlfn.IFS([1]!BTC_data[[#This Row],[BodyToRangeRatio]]&gt;=0.7,"Directional",[1]!BTC_data[[#This Row],[BodyToRangeRatio]]&lt;=0.3,"Indecision",TRUE,"Mixed")</f>
        <v>Directional</v>
      </c>
      <c r="Q167" s="9" t="str" cm="1">
        <f t="array" ref="Q167">_xlfn.IFS([1]!BTC_data[[#This Row],[HourUTC]]&lt;8,"Asia",[1]!BTC_data[[#This Row],[HourUTC]]&lt;13,"London",[1]!BTC_data[[#This Row],[HourUTC]]&lt;21,"New York",TRUE,"AfterHours")</f>
        <v>New York</v>
      </c>
    </row>
    <row r="168" spans="1:17" x14ac:dyDescent="0.3">
      <c r="A168" s="5">
        <v>93726.399999999994</v>
      </c>
      <c r="B168" s="5">
        <v>93754.3</v>
      </c>
      <c r="C168" s="5">
        <v>28887</v>
      </c>
      <c r="D168" s="5">
        <v>30.807738990000001</v>
      </c>
      <c r="E168" s="5">
        <v>499</v>
      </c>
      <c r="F168" s="5">
        <v>13211</v>
      </c>
      <c r="G168" s="5">
        <v>14.09019921</v>
      </c>
      <c r="H168" s="5">
        <f>[1]!BTC_data[[#This Row],[high]]-[1]!BTC_data[[#This Row],[low]]</f>
        <v>70</v>
      </c>
      <c r="I168" s="6">
        <f>[1]!BTC_data[[#This Row],[CandleRange]]/[1]!BTC_data[[#This Row],[open]]</f>
        <v>7.4647716099806129E-4</v>
      </c>
      <c r="J168" s="7">
        <f>ABS([1]!BTC_data[[#This Row],[open]]-[1]!BTC_data[[#This Row],[close]])</f>
        <v>19.5</v>
      </c>
      <c r="K168" s="6">
        <f>[1]!BTC_data[[#This Row],[CandleBody]]/[1]!BTC_data[[#This Row],[open]]</f>
        <v>2.079472091351742E-4</v>
      </c>
      <c r="L168" s="8">
        <f>IF([1]!BTC_data[[#This Row],[CandleRange]]&gt;0,([1]!BTC_data[[#This Row],[close]]-[1]!BTC_data[[#This Row],[low]])/[1]!BTC_data[[#This Row],[CandleRange]],"")</f>
        <v>0.39857142857155331</v>
      </c>
      <c r="M168" s="8">
        <f>IF([1]!BTC_data[[#This Row],[quote_volume]]&gt;0,[1]!BTC_data[[#This Row],[taker_buy_quote_volume]]/[1]!BTC_data[[#This Row],[quote_volume]],"")</f>
        <v>0.45735908157926131</v>
      </c>
      <c r="N168" t="str" cm="1">
        <f t="array" ref="N168">_xlfn.IFS([1]!BTC_data[[#This Row],[open]]-[1]!BTC_data[[#This Row],[close]]&gt;0,"Bearish",[1]!BTC_data[[#This Row],[open]]-[1]!BTC_data[[#This Row],[close]]&lt;0,"Bullish",TRUE,"Neutral")</f>
        <v>Bearish</v>
      </c>
      <c r="O168" s="8">
        <f>IF([1]!BTC_data[[#This Row],[CandleRange]]&gt;0,[1]!BTC_data[[#This Row],[CandleBody]]/[1]!BTC_data[[#This Row],[CandleRange]],"")</f>
        <v>0.27857142857142858</v>
      </c>
      <c r="P168" s="9" t="str" cm="1">
        <f t="array" ref="P168">_xlfn.IFS([1]!BTC_data[[#This Row],[BodyToRangeRatio]]&gt;=0.7,"Directional",[1]!BTC_data[[#This Row],[BodyToRangeRatio]]&lt;=0.3,"Indecision",TRUE,"Mixed")</f>
        <v>Indecision</v>
      </c>
      <c r="Q168" s="9" t="str" cm="1">
        <f t="array" ref="Q168">_xlfn.IFS([1]!BTC_data[[#This Row],[HourUTC]]&lt;8,"Asia",[1]!BTC_data[[#This Row],[HourUTC]]&lt;13,"London",[1]!BTC_data[[#This Row],[HourUTC]]&lt;21,"New York",TRUE,"AfterHours")</f>
        <v>New York</v>
      </c>
    </row>
    <row r="169" spans="1:17" x14ac:dyDescent="0.3">
      <c r="A169" s="10">
        <v>93754.2</v>
      </c>
      <c r="B169" s="10">
        <v>93908.3</v>
      </c>
      <c r="C169" s="10">
        <v>86925</v>
      </c>
      <c r="D169" s="10">
        <v>92.628125470000001</v>
      </c>
      <c r="E169" s="10">
        <v>1090</v>
      </c>
      <c r="F169" s="10">
        <v>73814</v>
      </c>
      <c r="G169" s="10">
        <v>78.66017162</v>
      </c>
      <c r="H169" s="10">
        <f>[1]!BTC_data[[#This Row],[high]]-[1]!BTC_data[[#This Row],[low]]</f>
        <v>188</v>
      </c>
      <c r="I169" s="11">
        <f>[1]!BTC_data[[#This Row],[CandleRange]]/[1]!BTC_data[[#This Row],[open]]</f>
        <v>2.005243498424604E-3</v>
      </c>
      <c r="J169" s="12">
        <f>ABS([1]!BTC_data[[#This Row],[open]]-[1]!BTC_data[[#This Row],[close]])</f>
        <v>154.10000000000582</v>
      </c>
      <c r="K169" s="11">
        <f>[1]!BTC_data[[#This Row],[CandleBody]]/[1]!BTC_data[[#This Row],[open]]</f>
        <v>1.643659697378953E-3</v>
      </c>
      <c r="L169" s="13">
        <f>IF([1]!BTC_data[[#This Row],[CandleRange]]&gt;0,([1]!BTC_data[[#This Row],[close]]-[1]!BTC_data[[#This Row],[low]])/[1]!BTC_data[[#This Row],[CandleRange]],"")</f>
        <v>0.81968085106386079</v>
      </c>
      <c r="M169" s="13">
        <f>IF([1]!BTC_data[[#This Row],[quote_volume]]&gt;0,[1]!BTC_data[[#This Row],[taker_buy_quote_volume]]/[1]!BTC_data[[#This Row],[quote_volume]],"")</f>
        <v>0.84920396716304181</v>
      </c>
      <c r="N169" t="str" cm="1">
        <f t="array" ref="N169">_xlfn.IFS([1]!BTC_data[[#This Row],[open]]-[1]!BTC_data[[#This Row],[close]]&gt;0,"Bearish",[1]!BTC_data[[#This Row],[open]]-[1]!BTC_data[[#This Row],[close]]&lt;0,"Bullish",TRUE,"Neutral")</f>
        <v>Bullish</v>
      </c>
      <c r="O169" s="13">
        <f>IF([1]!BTC_data[[#This Row],[CandleRange]]&gt;0,[1]!BTC_data[[#This Row],[CandleBody]]/[1]!BTC_data[[#This Row],[CandleRange]],"")</f>
        <v>0.81968085106386079</v>
      </c>
      <c r="P169" s="9" t="str" cm="1">
        <f t="array" ref="P169">_xlfn.IFS([1]!BTC_data[[#This Row],[BodyToRangeRatio]]&gt;=0.7,"Directional",[1]!BTC_data[[#This Row],[BodyToRangeRatio]]&lt;=0.3,"Indecision",TRUE,"Mixed")</f>
        <v>Directional</v>
      </c>
      <c r="Q169" s="9" t="str" cm="1">
        <f t="array" ref="Q169">_xlfn.IFS([1]!BTC_data[[#This Row],[HourUTC]]&lt;8,"Asia",[1]!BTC_data[[#This Row],[HourUTC]]&lt;13,"London",[1]!BTC_data[[#This Row],[HourUTC]]&lt;21,"New York",TRUE,"AfterHours")</f>
        <v>New York</v>
      </c>
    </row>
    <row r="170" spans="1:17" x14ac:dyDescent="0.3">
      <c r="A170" s="5">
        <v>93908.2</v>
      </c>
      <c r="B170" s="5">
        <v>94234.8</v>
      </c>
      <c r="C170" s="5">
        <v>178014</v>
      </c>
      <c r="D170" s="5">
        <v>189.19339926999999</v>
      </c>
      <c r="E170" s="5">
        <v>2437</v>
      </c>
      <c r="F170" s="5">
        <v>133774</v>
      </c>
      <c r="G170" s="5">
        <v>142.17752851</v>
      </c>
      <c r="H170" s="5">
        <f>[1]!BTC_data[[#This Row],[high]]-[1]!BTC_data[[#This Row],[low]]</f>
        <v>331.80000000000291</v>
      </c>
      <c r="I170" s="6">
        <f>[1]!BTC_data[[#This Row],[CandleRange]]/[1]!BTC_data[[#This Row],[open]]</f>
        <v>3.5332377790225234E-3</v>
      </c>
      <c r="J170" s="7">
        <f>ABS([1]!BTC_data[[#This Row],[open]]-[1]!BTC_data[[#This Row],[close]])</f>
        <v>326.60000000000582</v>
      </c>
      <c r="K170" s="6">
        <f>[1]!BTC_data[[#This Row],[CandleBody]]/[1]!BTC_data[[#This Row],[open]]</f>
        <v>3.4778645528293147E-3</v>
      </c>
      <c r="L170" s="8">
        <f>IF([1]!BTC_data[[#This Row],[CandleRange]]&gt;0,([1]!BTC_data[[#This Row],[close]]-[1]!BTC_data[[#This Row],[low]])/[1]!BTC_data[[#This Row],[CandleRange]],"")</f>
        <v>0.98432790837855022</v>
      </c>
      <c r="M170" s="8">
        <f>IF([1]!BTC_data[[#This Row],[quote_volume]]&gt;0,[1]!BTC_data[[#This Row],[taker_buy_quote_volume]]/[1]!BTC_data[[#This Row],[quote_volume]],"")</f>
        <v>0.75149307036392365</v>
      </c>
      <c r="N170" t="str" cm="1">
        <f t="array" ref="N170">_xlfn.IFS([1]!BTC_data[[#This Row],[open]]-[1]!BTC_data[[#This Row],[close]]&gt;0,"Bearish",[1]!BTC_data[[#This Row],[open]]-[1]!BTC_data[[#This Row],[close]]&lt;0,"Bullish",TRUE,"Neutral")</f>
        <v>Bullish</v>
      </c>
      <c r="O170" s="8">
        <f>IF([1]!BTC_data[[#This Row],[CandleRange]]&gt;0,[1]!BTC_data[[#This Row],[CandleBody]]/[1]!BTC_data[[#This Row],[CandleRange]],"")</f>
        <v>0.98432790837855022</v>
      </c>
      <c r="P170" s="9" t="str" cm="1">
        <f t="array" ref="P170">_xlfn.IFS([1]!BTC_data[[#This Row],[BodyToRangeRatio]]&gt;=0.7,"Directional",[1]!BTC_data[[#This Row],[BodyToRangeRatio]]&lt;=0.3,"Indecision",TRUE,"Mixed")</f>
        <v>Directional</v>
      </c>
      <c r="Q170" s="9" t="str" cm="1">
        <f t="array" ref="Q170">_xlfn.IFS([1]!BTC_data[[#This Row],[HourUTC]]&lt;8,"Asia",[1]!BTC_data[[#This Row],[HourUTC]]&lt;13,"London",[1]!BTC_data[[#This Row],[HourUTC]]&lt;21,"New York",TRUE,"AfterHours")</f>
        <v>New York</v>
      </c>
    </row>
    <row r="171" spans="1:17" x14ac:dyDescent="0.3">
      <c r="A171" s="10">
        <v>94040.2</v>
      </c>
      <c r="B171" s="10">
        <v>94129.9</v>
      </c>
      <c r="C171" s="10">
        <v>103412</v>
      </c>
      <c r="D171" s="10">
        <v>109.76443768999999</v>
      </c>
      <c r="E171" s="10">
        <v>1712</v>
      </c>
      <c r="F171" s="10">
        <v>53852</v>
      </c>
      <c r="G171" s="10">
        <v>57.141609359999997</v>
      </c>
      <c r="H171" s="10">
        <f>[1]!BTC_data[[#This Row],[high]]-[1]!BTC_data[[#This Row],[low]]</f>
        <v>280.5</v>
      </c>
      <c r="I171" s="11">
        <f>[1]!BTC_data[[#This Row],[CandleRange]]/[1]!BTC_data[[#This Row],[open]]</f>
        <v>2.9764462823071757E-3</v>
      </c>
      <c r="J171" s="12">
        <f>ABS([1]!BTC_data[[#This Row],[open]]-[1]!BTC_data[[#This Row],[close]])</f>
        <v>110</v>
      </c>
      <c r="K171" s="11">
        <f>[1]!BTC_data[[#This Row],[CandleBody]]/[1]!BTC_data[[#This Row],[open]]</f>
        <v>1.1672338361988924E-3</v>
      </c>
      <c r="L171" s="13">
        <f>IF([1]!BTC_data[[#This Row],[CandleRange]]&gt;0,([1]!BTC_data[[#This Row],[close]]-[1]!BTC_data[[#This Row],[low]])/[1]!BTC_data[[#This Row],[CandleRange]],"")</f>
        <v>0.31978609625667409</v>
      </c>
      <c r="M171" s="13">
        <f>IF([1]!BTC_data[[#This Row],[quote_volume]]&gt;0,[1]!BTC_data[[#This Row],[taker_buy_quote_volume]]/[1]!BTC_data[[#This Row],[quote_volume]],"")</f>
        <v>0.52058399389227539</v>
      </c>
      <c r="N171" t="str" cm="1">
        <f t="array" ref="N171">_xlfn.IFS([1]!BTC_data[[#This Row],[open]]-[1]!BTC_data[[#This Row],[close]]&gt;0,"Bearish",[1]!BTC_data[[#This Row],[open]]-[1]!BTC_data[[#This Row],[close]]&lt;0,"Bullish",TRUE,"Neutral")</f>
        <v>Bearish</v>
      </c>
      <c r="O171" s="13">
        <f>IF([1]!BTC_data[[#This Row],[CandleRange]]&gt;0,[1]!BTC_data[[#This Row],[CandleBody]]/[1]!BTC_data[[#This Row],[CandleRange]],"")</f>
        <v>0.39215686274509803</v>
      </c>
      <c r="P171" s="9" t="str" cm="1">
        <f t="array" ref="P171">_xlfn.IFS([1]!BTC_data[[#This Row],[BodyToRangeRatio]]&gt;=0.7,"Directional",[1]!BTC_data[[#This Row],[BodyToRangeRatio]]&lt;=0.3,"Indecision",TRUE,"Mixed")</f>
        <v>Mixed</v>
      </c>
      <c r="Q171" s="9" t="str" cm="1">
        <f t="array" ref="Q171">_xlfn.IFS([1]!BTC_data[[#This Row],[HourUTC]]&lt;8,"Asia",[1]!BTC_data[[#This Row],[HourUTC]]&lt;13,"London",[1]!BTC_data[[#This Row],[HourUTC]]&lt;21,"New York",TRUE,"AfterHours")</f>
        <v>New York</v>
      </c>
    </row>
    <row r="172" spans="1:17" x14ac:dyDescent="0.3">
      <c r="A172" s="5">
        <v>94088.4</v>
      </c>
      <c r="B172" s="5">
        <v>94117.1</v>
      </c>
      <c r="C172" s="5">
        <v>54158</v>
      </c>
      <c r="D172" s="5">
        <v>57.526588889999999</v>
      </c>
      <c r="E172" s="5">
        <v>783</v>
      </c>
      <c r="F172" s="5">
        <v>23173</v>
      </c>
      <c r="G172" s="5">
        <v>24.613550159999999</v>
      </c>
      <c r="H172" s="5">
        <f>[1]!BTC_data[[#This Row],[high]]-[1]!BTC_data[[#This Row],[low]]</f>
        <v>131.60000000000582</v>
      </c>
      <c r="I172" s="6">
        <f>[1]!BTC_data[[#This Row],[CandleRange]]/[1]!BTC_data[[#This Row],[open]]</f>
        <v>1.3980694742791956E-3</v>
      </c>
      <c r="J172" s="7">
        <f>ABS([1]!BTC_data[[#This Row],[open]]-[1]!BTC_data[[#This Row],[close]])</f>
        <v>12.69999999999709</v>
      </c>
      <c r="K172" s="6">
        <f>[1]!BTC_data[[#This Row],[CandleBody]]/[1]!BTC_data[[#This Row],[open]]</f>
        <v>1.3492007844483989E-4</v>
      </c>
      <c r="L172" s="8">
        <f>IF([1]!BTC_data[[#This Row],[CandleRange]]&gt;0,([1]!BTC_data[[#This Row],[close]]-[1]!BTC_data[[#This Row],[low]])/[1]!BTC_data[[#This Row],[CandleRange]],"")</f>
        <v>0.21808510638305753</v>
      </c>
      <c r="M172" s="8">
        <f>IF([1]!BTC_data[[#This Row],[quote_volume]]&gt;0,[1]!BTC_data[[#This Row],[taker_buy_quote_volume]]/[1]!BTC_data[[#This Row],[quote_volume]],"")</f>
        <v>0.42786389102724354</v>
      </c>
      <c r="N172" t="str" cm="1">
        <f t="array" ref="N172">_xlfn.IFS([1]!BTC_data[[#This Row],[open]]-[1]!BTC_data[[#This Row],[close]]&gt;0,"Bearish",[1]!BTC_data[[#This Row],[open]]-[1]!BTC_data[[#This Row],[close]]&lt;0,"Bullish",TRUE,"Neutral")</f>
        <v>Bearish</v>
      </c>
      <c r="O172" s="8">
        <f>IF([1]!BTC_data[[#This Row],[CandleRange]]&gt;0,[1]!BTC_data[[#This Row],[CandleBody]]/[1]!BTC_data[[#This Row],[CandleRange]],"")</f>
        <v>9.6504559270490328E-2</v>
      </c>
      <c r="P172" s="9" t="str" cm="1">
        <f t="array" ref="P172">_xlfn.IFS([1]!BTC_data[[#This Row],[BodyToRangeRatio]]&gt;=0.7,"Directional",[1]!BTC_data[[#This Row],[BodyToRangeRatio]]&lt;=0.3,"Indecision",TRUE,"Mixed")</f>
        <v>Indecision</v>
      </c>
      <c r="Q172" s="9" t="str" cm="1">
        <f t="array" ref="Q172">_xlfn.IFS([1]!BTC_data[[#This Row],[HourUTC]]&lt;8,"Asia",[1]!BTC_data[[#This Row],[HourUTC]]&lt;13,"London",[1]!BTC_data[[#This Row],[HourUTC]]&lt;21,"New York",TRUE,"AfterHours")</f>
        <v>New York</v>
      </c>
    </row>
    <row r="173" spans="1:17" x14ac:dyDescent="0.3">
      <c r="A173" s="10">
        <v>94000</v>
      </c>
      <c r="B173" s="10">
        <v>94033</v>
      </c>
      <c r="C173" s="10">
        <v>77098</v>
      </c>
      <c r="D173" s="10">
        <v>81.946656770000004</v>
      </c>
      <c r="E173" s="10">
        <v>1198</v>
      </c>
      <c r="F173" s="10">
        <v>31295</v>
      </c>
      <c r="G173" s="10">
        <v>33.258294720000002</v>
      </c>
      <c r="H173" s="10">
        <f>[1]!BTC_data[[#This Row],[high]]-[1]!BTC_data[[#This Row],[low]]</f>
        <v>178.5</v>
      </c>
      <c r="I173" s="11">
        <f>[1]!BTC_data[[#This Row],[CandleRange]]/[1]!BTC_data[[#This Row],[open]]</f>
        <v>1.8965755389568303E-3</v>
      </c>
      <c r="J173" s="12">
        <f>ABS([1]!BTC_data[[#This Row],[open]]-[1]!BTC_data[[#This Row],[close]])</f>
        <v>84</v>
      </c>
      <c r="K173" s="11">
        <f>[1]!BTC_data[[#This Row],[CandleBody]]/[1]!BTC_data[[#This Row],[open]]</f>
        <v>8.9250613597968481E-4</v>
      </c>
      <c r="L173" s="13">
        <f>IF([1]!BTC_data[[#This Row],[CandleRange]]&gt;0,([1]!BTC_data[[#This Row],[close]]-[1]!BTC_data[[#This Row],[low]])/[1]!BTC_data[[#This Row],[CandleRange]],"")</f>
        <v>0.18487394957983194</v>
      </c>
      <c r="M173" s="13">
        <f>IF([1]!BTC_data[[#This Row],[quote_volume]]&gt;0,[1]!BTC_data[[#This Row],[taker_buy_quote_volume]]/[1]!BTC_data[[#This Row],[quote_volume]],"")</f>
        <v>0.40585297839967022</v>
      </c>
      <c r="N173" t="str" cm="1">
        <f t="array" ref="N173">_xlfn.IFS([1]!BTC_data[[#This Row],[open]]-[1]!BTC_data[[#This Row],[close]]&gt;0,"Bearish",[1]!BTC_data[[#This Row],[open]]-[1]!BTC_data[[#This Row],[close]]&lt;0,"Bullish",TRUE,"Neutral")</f>
        <v>Bearish</v>
      </c>
      <c r="O173" s="13">
        <f>IF([1]!BTC_data[[#This Row],[CandleRange]]&gt;0,[1]!BTC_data[[#This Row],[CandleBody]]/[1]!BTC_data[[#This Row],[CandleRange]],"")</f>
        <v>0.47058823529411764</v>
      </c>
      <c r="P173" s="9" t="str" cm="1">
        <f t="array" ref="P173">_xlfn.IFS([1]!BTC_data[[#This Row],[BodyToRangeRatio]]&gt;=0.7,"Directional",[1]!BTC_data[[#This Row],[BodyToRangeRatio]]&lt;=0.3,"Indecision",TRUE,"Mixed")</f>
        <v>Mixed</v>
      </c>
      <c r="Q173" s="9" t="str" cm="1">
        <f t="array" ref="Q173">_xlfn.IFS([1]!BTC_data[[#This Row],[HourUTC]]&lt;8,"Asia",[1]!BTC_data[[#This Row],[HourUTC]]&lt;13,"London",[1]!BTC_data[[#This Row],[HourUTC]]&lt;21,"New York",TRUE,"AfterHours")</f>
        <v>New York</v>
      </c>
    </row>
    <row r="174" spans="1:17" x14ac:dyDescent="0.3">
      <c r="A174" s="5">
        <v>94015.1</v>
      </c>
      <c r="B174" s="5">
        <v>94045.6</v>
      </c>
      <c r="C174" s="5">
        <v>18439</v>
      </c>
      <c r="D174" s="5">
        <v>19.60380104</v>
      </c>
      <c r="E174" s="5">
        <v>495</v>
      </c>
      <c r="F174" s="5">
        <v>8342</v>
      </c>
      <c r="G174" s="5">
        <v>8.8694121199999998</v>
      </c>
      <c r="H174" s="5">
        <f>[1]!BTC_data[[#This Row],[high]]-[1]!BTC_data[[#This Row],[low]]</f>
        <v>64.19999999999709</v>
      </c>
      <c r="I174" s="6">
        <f>[1]!BTC_data[[#This Row],[CandleRange]]/[1]!BTC_data[[#This Row],[open]]</f>
        <v>6.827390384226505E-4</v>
      </c>
      <c r="J174" s="7">
        <f>ABS([1]!BTC_data[[#This Row],[open]]-[1]!BTC_data[[#This Row],[close]])</f>
        <v>12.600000000005821</v>
      </c>
      <c r="K174" s="6">
        <f>[1]!BTC_data[[#This Row],[CandleBody]]/[1]!BTC_data[[#This Row],[open]]</f>
        <v>1.339955122138592E-4</v>
      </c>
      <c r="L174" s="8">
        <f>IF([1]!BTC_data[[#This Row],[CandleRange]]&gt;0,([1]!BTC_data[[#This Row],[close]]-[1]!BTC_data[[#This Row],[low]])/[1]!BTC_data[[#This Row],[CandleRange]],"")</f>
        <v>0.47507788161995923</v>
      </c>
      <c r="M174" s="8">
        <f>IF([1]!BTC_data[[#This Row],[quote_volume]]&gt;0,[1]!BTC_data[[#This Row],[taker_buy_quote_volume]]/[1]!BTC_data[[#This Row],[quote_volume]],"")</f>
        <v>0.45243328586648418</v>
      </c>
      <c r="N174" t="str" cm="1">
        <f t="array" ref="N174">_xlfn.IFS([1]!BTC_data[[#This Row],[open]]-[1]!BTC_data[[#This Row],[close]]&gt;0,"Bearish",[1]!BTC_data[[#This Row],[open]]-[1]!BTC_data[[#This Row],[close]]&lt;0,"Bullish",TRUE,"Neutral")</f>
        <v>Bullish</v>
      </c>
      <c r="O174" s="8">
        <f>IF([1]!BTC_data[[#This Row],[CandleRange]]&gt;0,[1]!BTC_data[[#This Row],[CandleBody]]/[1]!BTC_data[[#This Row],[CandleRange]],"")</f>
        <v>0.19626168224309021</v>
      </c>
      <c r="P174" s="9" t="str" cm="1">
        <f t="array" ref="P174">_xlfn.IFS([1]!BTC_data[[#This Row],[BodyToRangeRatio]]&gt;=0.7,"Directional",[1]!BTC_data[[#This Row],[BodyToRangeRatio]]&lt;=0.3,"Indecision",TRUE,"Mixed")</f>
        <v>Indecision</v>
      </c>
      <c r="Q174" s="9" t="str" cm="1">
        <f t="array" ref="Q174">_xlfn.IFS([1]!BTC_data[[#This Row],[HourUTC]]&lt;8,"Asia",[1]!BTC_data[[#This Row],[HourUTC]]&lt;13,"London",[1]!BTC_data[[#This Row],[HourUTC]]&lt;21,"New York",TRUE,"AfterHours")</f>
        <v>New York</v>
      </c>
    </row>
    <row r="175" spans="1:17" x14ac:dyDescent="0.3">
      <c r="A175" s="10">
        <v>93752.6</v>
      </c>
      <c r="B175" s="10">
        <v>93783.9</v>
      </c>
      <c r="C175" s="10">
        <v>130509</v>
      </c>
      <c r="D175" s="10">
        <v>139.01543434000001</v>
      </c>
      <c r="E175" s="10">
        <v>1457</v>
      </c>
      <c r="F175" s="10">
        <v>61960</v>
      </c>
      <c r="G175" s="10">
        <v>65.998903060000004</v>
      </c>
      <c r="H175" s="10">
        <f>[1]!BTC_data[[#This Row],[high]]-[1]!BTC_data[[#This Row],[low]]</f>
        <v>293</v>
      </c>
      <c r="I175" s="11">
        <f>[1]!BTC_data[[#This Row],[CandleRange]]/[1]!BTC_data[[#This Row],[open]]</f>
        <v>3.1155099228459384E-3</v>
      </c>
      <c r="J175" s="12">
        <f>ABS([1]!BTC_data[[#This Row],[open]]-[1]!BTC_data[[#This Row],[close]])</f>
        <v>261.70000000001164</v>
      </c>
      <c r="K175" s="11">
        <f>[1]!BTC_data[[#This Row],[CandleBody]]/[1]!BTC_data[[#This Row],[open]]</f>
        <v>2.7826926512246361E-3</v>
      </c>
      <c r="L175" s="13">
        <f>IF([1]!BTC_data[[#This Row],[CandleRange]]&gt;0,([1]!BTC_data[[#This Row],[close]]-[1]!BTC_data[[#This Row],[low]])/[1]!BTC_data[[#This Row],[CandleRange]],"")</f>
        <v>0.10682593856651316</v>
      </c>
      <c r="M175" s="13">
        <f>IF([1]!BTC_data[[#This Row],[quote_volume]]&gt;0,[1]!BTC_data[[#This Row],[taker_buy_quote_volume]]/[1]!BTC_data[[#This Row],[quote_volume]],"")</f>
        <v>0.47475953568279156</v>
      </c>
      <c r="N175" t="str" cm="1">
        <f t="array" ref="N175">_xlfn.IFS([1]!BTC_data[[#This Row],[open]]-[1]!BTC_data[[#This Row],[close]]&gt;0,"Bearish",[1]!BTC_data[[#This Row],[open]]-[1]!BTC_data[[#This Row],[close]]&lt;0,"Bullish",TRUE,"Neutral")</f>
        <v>Bearish</v>
      </c>
      <c r="O175" s="13">
        <f>IF([1]!BTC_data[[#This Row],[CandleRange]]&gt;0,[1]!BTC_data[[#This Row],[CandleBody]]/[1]!BTC_data[[#This Row],[CandleRange]],"")</f>
        <v>0.89317406143348688</v>
      </c>
      <c r="P175" s="9" t="str" cm="1">
        <f t="array" ref="P175">_xlfn.IFS([1]!BTC_data[[#This Row],[BodyToRangeRatio]]&gt;=0.7,"Directional",[1]!BTC_data[[#This Row],[BodyToRangeRatio]]&lt;=0.3,"Indecision",TRUE,"Mixed")</f>
        <v>Directional</v>
      </c>
      <c r="Q175" s="9" t="str" cm="1">
        <f t="array" ref="Q175">_xlfn.IFS([1]!BTC_data[[#This Row],[HourUTC]]&lt;8,"Asia",[1]!BTC_data[[#This Row],[HourUTC]]&lt;13,"London",[1]!BTC_data[[#This Row],[HourUTC]]&lt;21,"New York",TRUE,"AfterHours")</f>
        <v>New York</v>
      </c>
    </row>
    <row r="176" spans="1:17" x14ac:dyDescent="0.3">
      <c r="A176" s="5">
        <v>93524.1</v>
      </c>
      <c r="B176" s="5">
        <v>93646.8</v>
      </c>
      <c r="C176" s="5">
        <v>140137</v>
      </c>
      <c r="D176" s="5">
        <v>149.66549551</v>
      </c>
      <c r="E176" s="5">
        <v>2369</v>
      </c>
      <c r="F176" s="5">
        <v>41932</v>
      </c>
      <c r="G176" s="5">
        <v>44.785842410000001</v>
      </c>
      <c r="H176" s="5">
        <f>[1]!BTC_data[[#This Row],[high]]-[1]!BTC_data[[#This Row],[low]]</f>
        <v>259.89999999999418</v>
      </c>
      <c r="I176" s="6">
        <f>[1]!BTC_data[[#This Row],[CandleRange]]/[1]!BTC_data[[#This Row],[open]]</f>
        <v>2.7712616224515288E-3</v>
      </c>
      <c r="J176" s="7">
        <f>ABS([1]!BTC_data[[#This Row],[open]]-[1]!BTC_data[[#This Row],[close]])</f>
        <v>137.19999999999709</v>
      </c>
      <c r="K176" s="6">
        <f>[1]!BTC_data[[#This Row],[CandleBody]]/[1]!BTC_data[[#This Row],[open]]</f>
        <v>1.462936108504618E-3</v>
      </c>
      <c r="L176" s="8">
        <f>IF([1]!BTC_data[[#This Row],[CandleRange]]&gt;0,([1]!BTC_data[[#This Row],[close]]-[1]!BTC_data[[#This Row],[low]])/[1]!BTC_data[[#This Row],[CandleRange]],"")</f>
        <v>0.47210465563678278</v>
      </c>
      <c r="M176" s="8">
        <f>IF([1]!BTC_data[[#This Row],[quote_volume]]&gt;0,[1]!BTC_data[[#This Row],[taker_buy_quote_volume]]/[1]!BTC_data[[#This Row],[quote_volume]],"")</f>
        <v>0.29923959598962879</v>
      </c>
      <c r="N176" t="str" cm="1">
        <f t="array" ref="N176">_xlfn.IFS([1]!BTC_data[[#This Row],[open]]-[1]!BTC_data[[#This Row],[close]]&gt;0,"Bearish",[1]!BTC_data[[#This Row],[open]]-[1]!BTC_data[[#This Row],[close]]&lt;0,"Bullish",TRUE,"Neutral")</f>
        <v>Bearish</v>
      </c>
      <c r="O176" s="8">
        <f>IF([1]!BTC_data[[#This Row],[CandleRange]]&gt;0,[1]!BTC_data[[#This Row],[CandleBody]]/[1]!BTC_data[[#This Row],[CandleRange]],"")</f>
        <v>0.52789534436321728</v>
      </c>
      <c r="P176" s="9" t="str" cm="1">
        <f t="array" ref="P176">_xlfn.IFS([1]!BTC_data[[#This Row],[BodyToRangeRatio]]&gt;=0.7,"Directional",[1]!BTC_data[[#This Row],[BodyToRangeRatio]]&lt;=0.3,"Indecision",TRUE,"Mixed")</f>
        <v>Mixed</v>
      </c>
      <c r="Q176" s="9" t="str" cm="1">
        <f t="array" ref="Q176">_xlfn.IFS([1]!BTC_data[[#This Row],[HourUTC]]&lt;8,"Asia",[1]!BTC_data[[#This Row],[HourUTC]]&lt;13,"London",[1]!BTC_data[[#This Row],[HourUTC]]&lt;21,"New York",TRUE,"AfterHours")</f>
        <v>New York</v>
      </c>
    </row>
    <row r="177" spans="1:17" x14ac:dyDescent="0.3">
      <c r="A177" s="10">
        <v>93646.9</v>
      </c>
      <c r="B177" s="10">
        <v>93934.8</v>
      </c>
      <c r="C177" s="10">
        <v>103236</v>
      </c>
      <c r="D177" s="10">
        <v>109.94391347</v>
      </c>
      <c r="E177" s="10">
        <v>1560</v>
      </c>
      <c r="F177" s="10">
        <v>76104</v>
      </c>
      <c r="G177" s="10">
        <v>81.060877210000001</v>
      </c>
      <c r="H177" s="10">
        <f>[1]!BTC_data[[#This Row],[high]]-[1]!BTC_data[[#This Row],[low]]</f>
        <v>363.10000000000582</v>
      </c>
      <c r="I177" s="11">
        <f>[1]!BTC_data[[#This Row],[CandleRange]]/[1]!BTC_data[[#This Row],[open]]</f>
        <v>3.8773306964780025E-3</v>
      </c>
      <c r="J177" s="12">
        <f>ABS([1]!BTC_data[[#This Row],[open]]-[1]!BTC_data[[#This Row],[close]])</f>
        <v>287.90000000000873</v>
      </c>
      <c r="K177" s="11">
        <f>[1]!BTC_data[[#This Row],[CandleBody]]/[1]!BTC_data[[#This Row],[open]]</f>
        <v>3.0743142592014124E-3</v>
      </c>
      <c r="L177" s="13">
        <f>IF([1]!BTC_data[[#This Row],[CandleRange]]&gt;0,([1]!BTC_data[[#This Row],[close]]-[1]!BTC_data[[#This Row],[low]])/[1]!BTC_data[[#This Row],[CandleRange]],"")</f>
        <v>0.79289451941615019</v>
      </c>
      <c r="M177" s="13">
        <f>IF([1]!BTC_data[[#This Row],[quote_volume]]&gt;0,[1]!BTC_data[[#This Row],[taker_buy_quote_volume]]/[1]!BTC_data[[#This Row],[quote_volume]],"")</f>
        <v>0.7372929946878668</v>
      </c>
      <c r="N177" t="str" cm="1">
        <f t="array" ref="N177">_xlfn.IFS([1]!BTC_data[[#This Row],[open]]-[1]!BTC_data[[#This Row],[close]]&gt;0,"Bearish",[1]!BTC_data[[#This Row],[open]]-[1]!BTC_data[[#This Row],[close]]&lt;0,"Bullish",TRUE,"Neutral")</f>
        <v>Bullish</v>
      </c>
      <c r="O177" s="13">
        <f>IF([1]!BTC_data[[#This Row],[CandleRange]]&gt;0,[1]!BTC_data[[#This Row],[CandleBody]]/[1]!BTC_data[[#This Row],[CandleRange]],"")</f>
        <v>0.79289451941615019</v>
      </c>
      <c r="P177" s="9" t="str" cm="1">
        <f t="array" ref="P177">_xlfn.IFS([1]!BTC_data[[#This Row],[BodyToRangeRatio]]&gt;=0.7,"Directional",[1]!BTC_data[[#This Row],[BodyToRangeRatio]]&lt;=0.3,"Indecision",TRUE,"Mixed")</f>
        <v>Directional</v>
      </c>
      <c r="Q177" s="9" t="str" cm="1">
        <f t="array" ref="Q177">_xlfn.IFS([1]!BTC_data[[#This Row],[HourUTC]]&lt;8,"Asia",[1]!BTC_data[[#This Row],[HourUTC]]&lt;13,"London",[1]!BTC_data[[#This Row],[HourUTC]]&lt;21,"New York",TRUE,"AfterHours")</f>
        <v>New York</v>
      </c>
    </row>
    <row r="178" spans="1:17" x14ac:dyDescent="0.3">
      <c r="A178" s="5">
        <v>93806.2</v>
      </c>
      <c r="B178" s="5">
        <v>93841</v>
      </c>
      <c r="C178" s="5">
        <v>62919</v>
      </c>
      <c r="D178" s="5">
        <v>67.006436179999994</v>
      </c>
      <c r="E178" s="5">
        <v>1079</v>
      </c>
      <c r="F178" s="5">
        <v>17208</v>
      </c>
      <c r="G178" s="5">
        <v>18.321921209999999</v>
      </c>
      <c r="H178" s="5">
        <f>[1]!BTC_data[[#This Row],[high]]-[1]!BTC_data[[#This Row],[low]]</f>
        <v>166.69999999999709</v>
      </c>
      <c r="I178" s="6">
        <f>[1]!BTC_data[[#This Row],[CandleRange]]/[1]!BTC_data[[#This Row],[open]]</f>
        <v>1.7746351724813071E-3</v>
      </c>
      <c r="J178" s="7">
        <f>ABS([1]!BTC_data[[#This Row],[open]]-[1]!BTC_data[[#This Row],[close]])</f>
        <v>93.80000000000291</v>
      </c>
      <c r="K178" s="6">
        <f>[1]!BTC_data[[#This Row],[CandleBody]]/[1]!BTC_data[[#This Row],[open]]</f>
        <v>9.9856496208011194E-4</v>
      </c>
      <c r="L178" s="8">
        <f>IF([1]!BTC_data[[#This Row],[CandleRange]]&gt;0,([1]!BTC_data[[#This Row],[close]]-[1]!BTC_data[[#This Row],[low]])/[1]!BTC_data[[#This Row],[CandleRange]],"")</f>
        <v>0.20875824835035103</v>
      </c>
      <c r="M178" s="8">
        <f>IF([1]!BTC_data[[#This Row],[quote_volume]]&gt;0,[1]!BTC_data[[#This Row],[taker_buy_quote_volume]]/[1]!BTC_data[[#This Row],[quote_volume]],"")</f>
        <v>0.27343524375452022</v>
      </c>
      <c r="N178" t="str" cm="1">
        <f t="array" ref="N178">_xlfn.IFS([1]!BTC_data[[#This Row],[open]]-[1]!BTC_data[[#This Row],[close]]&gt;0,"Bearish",[1]!BTC_data[[#This Row],[open]]-[1]!BTC_data[[#This Row],[close]]&lt;0,"Bullish",TRUE,"Neutral")</f>
        <v>Bearish</v>
      </c>
      <c r="O178" s="8">
        <f>IF([1]!BTC_data[[#This Row],[CandleRange]]&gt;0,[1]!BTC_data[[#This Row],[CandleBody]]/[1]!BTC_data[[#This Row],[CandleRange]],"")</f>
        <v>0.56268746250752577</v>
      </c>
      <c r="P178" s="9" t="str" cm="1">
        <f t="array" ref="P178">_xlfn.IFS([1]!BTC_data[[#This Row],[BodyToRangeRatio]]&gt;=0.7,"Directional",[1]!BTC_data[[#This Row],[BodyToRangeRatio]]&lt;=0.3,"Indecision",TRUE,"Mixed")</f>
        <v>Mixed</v>
      </c>
      <c r="Q178" s="9" t="str" cm="1">
        <f t="array" ref="Q178">_xlfn.IFS([1]!BTC_data[[#This Row],[HourUTC]]&lt;8,"Asia",[1]!BTC_data[[#This Row],[HourUTC]]&lt;13,"London",[1]!BTC_data[[#This Row],[HourUTC]]&lt;21,"New York",TRUE,"AfterHours")</f>
        <v>New York</v>
      </c>
    </row>
    <row r="179" spans="1:17" x14ac:dyDescent="0.3">
      <c r="A179" s="10">
        <v>93772.1</v>
      </c>
      <c r="B179" s="10">
        <v>94003</v>
      </c>
      <c r="C179" s="10">
        <v>67498</v>
      </c>
      <c r="D179" s="10">
        <v>71.817102750000004</v>
      </c>
      <c r="E179" s="10">
        <v>1261</v>
      </c>
      <c r="F179" s="10">
        <v>46695</v>
      </c>
      <c r="G179" s="10">
        <v>49.673635109999999</v>
      </c>
      <c r="H179" s="10">
        <f>[1]!BTC_data[[#This Row],[high]]-[1]!BTC_data[[#This Row],[low]]</f>
        <v>318.69999999999709</v>
      </c>
      <c r="I179" s="11">
        <f>[1]!BTC_data[[#This Row],[CandleRange]]/[1]!BTC_data[[#This Row],[open]]</f>
        <v>3.396170117539211E-3</v>
      </c>
      <c r="J179" s="12">
        <f>ABS([1]!BTC_data[[#This Row],[open]]-[1]!BTC_data[[#This Row],[close]])</f>
        <v>162</v>
      </c>
      <c r="K179" s="11">
        <f>[1]!BTC_data[[#This Row],[CandleBody]]/[1]!BTC_data[[#This Row],[open]]</f>
        <v>1.7263243145320276E-3</v>
      </c>
      <c r="L179" s="13">
        <f>IF([1]!BTC_data[[#This Row],[CandleRange]]&gt;0,([1]!BTC_data[[#This Row],[close]]-[1]!BTC_data[[#This Row],[low]])/[1]!BTC_data[[#This Row],[CandleRange]],"")</f>
        <v>0.7245058048321189</v>
      </c>
      <c r="M179" s="13">
        <f>IF([1]!BTC_data[[#This Row],[quote_volume]]&gt;0,[1]!BTC_data[[#This Row],[taker_buy_quote_volume]]/[1]!BTC_data[[#This Row],[quote_volume]],"")</f>
        <v>0.69166860271316077</v>
      </c>
      <c r="N179" t="str" cm="1">
        <f t="array" ref="N179">_xlfn.IFS([1]!BTC_data[[#This Row],[open]]-[1]!BTC_data[[#This Row],[close]]&gt;0,"Bearish",[1]!BTC_data[[#This Row],[open]]-[1]!BTC_data[[#This Row],[close]]&lt;0,"Bullish",TRUE,"Neutral")</f>
        <v>Bullish</v>
      </c>
      <c r="O179" s="13">
        <f>IF([1]!BTC_data[[#This Row],[CandleRange]]&gt;0,[1]!BTC_data[[#This Row],[CandleBody]]/[1]!BTC_data[[#This Row],[CandleRange]],"")</f>
        <v>0.5083150298086021</v>
      </c>
      <c r="P179" s="9" t="str" cm="1">
        <f t="array" ref="P179">_xlfn.IFS([1]!BTC_data[[#This Row],[BodyToRangeRatio]]&gt;=0.7,"Directional",[1]!BTC_data[[#This Row],[BodyToRangeRatio]]&lt;=0.3,"Indecision",TRUE,"Mixed")</f>
        <v>Mixed</v>
      </c>
      <c r="Q179" s="9" t="str" cm="1">
        <f t="array" ref="Q179">_xlfn.IFS([1]!BTC_data[[#This Row],[HourUTC]]&lt;8,"Asia",[1]!BTC_data[[#This Row],[HourUTC]]&lt;13,"London",[1]!BTC_data[[#This Row],[HourUTC]]&lt;21,"New York",TRUE,"AfterHours")</f>
        <v>New York</v>
      </c>
    </row>
    <row r="180" spans="1:17" x14ac:dyDescent="0.3">
      <c r="A180" s="5">
        <v>93969.3</v>
      </c>
      <c r="B180" s="5">
        <v>93992.4</v>
      </c>
      <c r="C180" s="5">
        <v>31737</v>
      </c>
      <c r="D180" s="5">
        <v>33.75507116</v>
      </c>
      <c r="E180" s="5">
        <v>691</v>
      </c>
      <c r="F180" s="5">
        <v>15924</v>
      </c>
      <c r="G180" s="5">
        <v>16.936861520000001</v>
      </c>
      <c r="H180" s="5">
        <f>[1]!BTC_data[[#This Row],[high]]-[1]!BTC_data[[#This Row],[low]]</f>
        <v>90.899999999994179</v>
      </c>
      <c r="I180" s="6">
        <f>[1]!BTC_data[[#This Row],[CandleRange]]/[1]!BTC_data[[#This Row],[open]]</f>
        <v>9.6698938652016984E-4</v>
      </c>
      <c r="J180" s="7">
        <f>ABS([1]!BTC_data[[#This Row],[open]]-[1]!BTC_data[[#This Row],[close]])</f>
        <v>10.700000000011642</v>
      </c>
      <c r="K180" s="6">
        <f>[1]!BTC_data[[#This Row],[CandleBody]]/[1]!BTC_data[[#This Row],[open]]</f>
        <v>1.1382603339689479E-4</v>
      </c>
      <c r="L180" s="8">
        <f>IF([1]!BTC_data[[#This Row],[CandleRange]]&gt;0,([1]!BTC_data[[#This Row],[close]]-[1]!BTC_data[[#This Row],[low]])/[1]!BTC_data[[#This Row],[CandleRange]],"")</f>
        <v>0.25412541254117432</v>
      </c>
      <c r="M180" s="8">
        <f>IF([1]!BTC_data[[#This Row],[quote_volume]]&gt;0,[1]!BTC_data[[#This Row],[taker_buy_quote_volume]]/[1]!BTC_data[[#This Row],[quote_volume]],"")</f>
        <v>0.50175754154742536</v>
      </c>
      <c r="N180" t="str" cm="1">
        <f t="array" ref="N180">_xlfn.IFS([1]!BTC_data[[#This Row],[open]]-[1]!BTC_data[[#This Row],[close]]&gt;0,"Bearish",[1]!BTC_data[[#This Row],[open]]-[1]!BTC_data[[#This Row],[close]]&lt;0,"Bullish",TRUE,"Neutral")</f>
        <v>Bearish</v>
      </c>
      <c r="O180" s="8">
        <f>IF([1]!BTC_data[[#This Row],[CandleRange]]&gt;0,[1]!BTC_data[[#This Row],[CandleBody]]/[1]!BTC_data[[#This Row],[CandleRange]],"")</f>
        <v>0.11771177117725332</v>
      </c>
      <c r="P180" s="9" t="str" cm="1">
        <f t="array" ref="P180">_xlfn.IFS([1]!BTC_data[[#This Row],[BodyToRangeRatio]]&gt;=0.7,"Directional",[1]!BTC_data[[#This Row],[BodyToRangeRatio]]&lt;=0.3,"Indecision",TRUE,"Mixed")</f>
        <v>Indecision</v>
      </c>
      <c r="Q180" s="9" t="str" cm="1">
        <f t="array" ref="Q180">_xlfn.IFS([1]!BTC_data[[#This Row],[HourUTC]]&lt;8,"Asia",[1]!BTC_data[[#This Row],[HourUTC]]&lt;13,"London",[1]!BTC_data[[#This Row],[HourUTC]]&lt;21,"New York",TRUE,"AfterHours")</f>
        <v>New York</v>
      </c>
    </row>
    <row r="181" spans="1:17" x14ac:dyDescent="0.3">
      <c r="A181" s="10">
        <v>93992.4</v>
      </c>
      <c r="B181" s="10">
        <v>94052.9</v>
      </c>
      <c r="C181" s="10">
        <v>26325</v>
      </c>
      <c r="D181" s="10">
        <v>27.993148080000001</v>
      </c>
      <c r="E181" s="10">
        <v>581</v>
      </c>
      <c r="F181" s="10">
        <v>18802</v>
      </c>
      <c r="G181" s="10">
        <v>19.993893580000002</v>
      </c>
      <c r="H181" s="10">
        <f>[1]!BTC_data[[#This Row],[high]]-[1]!BTC_data[[#This Row],[low]]</f>
        <v>70.600000000005821</v>
      </c>
      <c r="I181" s="11">
        <f>[1]!BTC_data[[#This Row],[CandleRange]]/[1]!BTC_data[[#This Row],[open]]</f>
        <v>7.5112455900696045E-4</v>
      </c>
      <c r="J181" s="12">
        <f>ABS([1]!BTC_data[[#This Row],[open]]-[1]!BTC_data[[#This Row],[close]])</f>
        <v>60.5</v>
      </c>
      <c r="K181" s="11">
        <f>[1]!BTC_data[[#This Row],[CandleBody]]/[1]!BTC_data[[#This Row],[open]]</f>
        <v>6.4366906260506168E-4</v>
      </c>
      <c r="L181" s="13">
        <f>IF([1]!BTC_data[[#This Row],[CandleRange]]&gt;0,([1]!BTC_data[[#This Row],[close]]-[1]!BTC_data[[#This Row],[low]])/[1]!BTC_data[[#This Row],[CandleRange]],"")</f>
        <v>0.85694050991494353</v>
      </c>
      <c r="M181" s="13">
        <f>IF([1]!BTC_data[[#This Row],[quote_volume]]&gt;0,[1]!BTC_data[[#This Row],[taker_buy_quote_volume]]/[1]!BTC_data[[#This Row],[quote_volume]],"")</f>
        <v>0.71424241113791875</v>
      </c>
      <c r="N181" t="str" cm="1">
        <f t="array" ref="N181">_xlfn.IFS([1]!BTC_data[[#This Row],[open]]-[1]!BTC_data[[#This Row],[close]]&gt;0,"Bearish",[1]!BTC_data[[#This Row],[open]]-[1]!BTC_data[[#This Row],[close]]&lt;0,"Bullish",TRUE,"Neutral")</f>
        <v>Bullish</v>
      </c>
      <c r="O181" s="13">
        <f>IF([1]!BTC_data[[#This Row],[CandleRange]]&gt;0,[1]!BTC_data[[#This Row],[CandleBody]]/[1]!BTC_data[[#This Row],[CandleRange]],"")</f>
        <v>0.85694050991494353</v>
      </c>
      <c r="P181" s="9" t="str" cm="1">
        <f t="array" ref="P181">_xlfn.IFS([1]!BTC_data[[#This Row],[BodyToRangeRatio]]&gt;=0.7,"Directional",[1]!BTC_data[[#This Row],[BodyToRangeRatio]]&lt;=0.3,"Indecision",TRUE,"Mixed")</f>
        <v>Directional</v>
      </c>
      <c r="Q181" s="9" t="str" cm="1">
        <f t="array" ref="Q181">_xlfn.IFS([1]!BTC_data[[#This Row],[HourUTC]]&lt;8,"Asia",[1]!BTC_data[[#This Row],[HourUTC]]&lt;13,"London",[1]!BTC_data[[#This Row],[HourUTC]]&lt;21,"New York",TRUE,"AfterHours")</f>
        <v>New York</v>
      </c>
    </row>
    <row r="182" spans="1:17" x14ac:dyDescent="0.3">
      <c r="A182" s="5">
        <v>94000</v>
      </c>
      <c r="B182" s="5">
        <v>94054.8</v>
      </c>
      <c r="C182" s="5">
        <v>41421</v>
      </c>
      <c r="D182" s="5">
        <v>44.034047739999998</v>
      </c>
      <c r="E182" s="5">
        <v>1014</v>
      </c>
      <c r="F182" s="5">
        <v>21737</v>
      </c>
      <c r="G182" s="5">
        <v>23.108535870000001</v>
      </c>
      <c r="H182" s="5">
        <f>[1]!BTC_data[[#This Row],[high]]-[1]!BTC_data[[#This Row],[low]]</f>
        <v>141.39999999999418</v>
      </c>
      <c r="I182" s="6">
        <f>[1]!BTC_data[[#This Row],[CandleRange]]/[1]!BTC_data[[#This Row],[open]]</f>
        <v>1.5034108500756403E-3</v>
      </c>
      <c r="J182" s="7">
        <f>ABS([1]!BTC_data[[#This Row],[open]]-[1]!BTC_data[[#This Row],[close]])</f>
        <v>2</v>
      </c>
      <c r="K182" s="6">
        <f>[1]!BTC_data[[#This Row],[CandleBody]]/[1]!BTC_data[[#This Row],[open]]</f>
        <v>2.1264651344776551E-5</v>
      </c>
      <c r="L182" s="8">
        <f>IF([1]!BTC_data[[#This Row],[CandleRange]]&gt;0,([1]!BTC_data[[#This Row],[close]]-[1]!BTC_data[[#This Row],[low]])/[1]!BTC_data[[#This Row],[CandleRange]],"")</f>
        <v>0.38755304101842408</v>
      </c>
      <c r="M182" s="8">
        <f>IF([1]!BTC_data[[#This Row],[quote_volume]]&gt;0,[1]!BTC_data[[#This Row],[taker_buy_quote_volume]]/[1]!BTC_data[[#This Row],[quote_volume]],"")</f>
        <v>0.52478790972033407</v>
      </c>
      <c r="N182" t="str" cm="1">
        <f t="array" ref="N182">_xlfn.IFS([1]!BTC_data[[#This Row],[open]]-[1]!BTC_data[[#This Row],[close]]&gt;0,"Bearish",[1]!BTC_data[[#This Row],[open]]-[1]!BTC_data[[#This Row],[close]]&lt;0,"Bullish",TRUE,"Neutral")</f>
        <v>Bullish</v>
      </c>
      <c r="O182" s="8">
        <f>IF([1]!BTC_data[[#This Row],[CandleRange]]&gt;0,[1]!BTC_data[[#This Row],[CandleBody]]/[1]!BTC_data[[#This Row],[CandleRange]],"")</f>
        <v>1.4144271570014726E-2</v>
      </c>
      <c r="P182" s="9" t="str" cm="1">
        <f t="array" ref="P182">_xlfn.IFS([1]!BTC_data[[#This Row],[BodyToRangeRatio]]&gt;=0.7,"Directional",[1]!BTC_data[[#This Row],[BodyToRangeRatio]]&lt;=0.3,"Indecision",TRUE,"Mixed")</f>
        <v>Indecision</v>
      </c>
      <c r="Q182" s="9" t="str" cm="1">
        <f t="array" ref="Q182">_xlfn.IFS([1]!BTC_data[[#This Row],[HourUTC]]&lt;8,"Asia",[1]!BTC_data[[#This Row],[HourUTC]]&lt;13,"London",[1]!BTC_data[[#This Row],[HourUTC]]&lt;21,"New York",TRUE,"AfterHours")</f>
        <v>New York</v>
      </c>
    </row>
    <row r="183" spans="1:17" x14ac:dyDescent="0.3">
      <c r="A183" s="10">
        <v>93954.2</v>
      </c>
      <c r="B183" s="10">
        <v>93967.5</v>
      </c>
      <c r="C183" s="10">
        <v>60804</v>
      </c>
      <c r="D183" s="10">
        <v>64.692378039999994</v>
      </c>
      <c r="E183" s="10">
        <v>818</v>
      </c>
      <c r="F183" s="10">
        <v>25100</v>
      </c>
      <c r="G183" s="10">
        <v>26.70912903</v>
      </c>
      <c r="H183" s="10">
        <f>[1]!BTC_data[[#This Row],[high]]-[1]!BTC_data[[#This Row],[low]]</f>
        <v>128.5</v>
      </c>
      <c r="I183" s="11">
        <f>[1]!BTC_data[[#This Row],[CandleRange]]/[1]!BTC_data[[#This Row],[open]]</f>
        <v>1.3662247966079349E-3</v>
      </c>
      <c r="J183" s="12">
        <f>ABS([1]!BTC_data[[#This Row],[open]]-[1]!BTC_data[[#This Row],[close]])</f>
        <v>87.30000000000291</v>
      </c>
      <c r="K183" s="11">
        <f>[1]!BTC_data[[#This Row],[CandleBody]]/[1]!BTC_data[[#This Row],[open]]</f>
        <v>9.2818229372666685E-4</v>
      </c>
      <c r="L183" s="13">
        <f>IF([1]!BTC_data[[#This Row],[CandleRange]]&gt;0,([1]!BTC_data[[#This Row],[close]]-[1]!BTC_data[[#This Row],[low]])/[1]!BTC_data[[#This Row],[CandleRange]],"")</f>
        <v>0.10350194552531448</v>
      </c>
      <c r="M183" s="13">
        <f>IF([1]!BTC_data[[#This Row],[quote_volume]]&gt;0,[1]!BTC_data[[#This Row],[taker_buy_quote_volume]]/[1]!BTC_data[[#This Row],[quote_volume]],"")</f>
        <v>0.41286361452790399</v>
      </c>
      <c r="N183" t="str" cm="1">
        <f t="array" ref="N183">_xlfn.IFS([1]!BTC_data[[#This Row],[open]]-[1]!BTC_data[[#This Row],[close]]&gt;0,"Bearish",[1]!BTC_data[[#This Row],[open]]-[1]!BTC_data[[#This Row],[close]]&lt;0,"Bullish",TRUE,"Neutral")</f>
        <v>Bearish</v>
      </c>
      <c r="O183" s="13">
        <f>IF([1]!BTC_data[[#This Row],[CandleRange]]&gt;0,[1]!BTC_data[[#This Row],[CandleBody]]/[1]!BTC_data[[#This Row],[CandleRange]],"")</f>
        <v>0.67937743190663746</v>
      </c>
      <c r="P183" s="9" t="str" cm="1">
        <f t="array" ref="P183">_xlfn.IFS([1]!BTC_data[[#This Row],[BodyToRangeRatio]]&gt;=0.7,"Directional",[1]!BTC_data[[#This Row],[BodyToRangeRatio]]&lt;=0.3,"Indecision",TRUE,"Mixed")</f>
        <v>Mixed</v>
      </c>
      <c r="Q183" s="9" t="str" cm="1">
        <f t="array" ref="Q183">_xlfn.IFS([1]!BTC_data[[#This Row],[HourUTC]]&lt;8,"Asia",[1]!BTC_data[[#This Row],[HourUTC]]&lt;13,"London",[1]!BTC_data[[#This Row],[HourUTC]]&lt;21,"New York",TRUE,"AfterHours")</f>
        <v>New York</v>
      </c>
    </row>
    <row r="184" spans="1:17" x14ac:dyDescent="0.3">
      <c r="A184" s="5">
        <v>93764.800000000003</v>
      </c>
      <c r="B184" s="5">
        <v>93858.2</v>
      </c>
      <c r="C184" s="5">
        <v>62138</v>
      </c>
      <c r="D184" s="5">
        <v>66.198553279999999</v>
      </c>
      <c r="E184" s="5">
        <v>953</v>
      </c>
      <c r="F184" s="5">
        <v>19785</v>
      </c>
      <c r="G184" s="5">
        <v>21.07739084</v>
      </c>
      <c r="H184" s="5">
        <f>[1]!BTC_data[[#This Row],[high]]-[1]!BTC_data[[#This Row],[low]]</f>
        <v>210.39999999999418</v>
      </c>
      <c r="I184" s="6">
        <f>[1]!BTC_data[[#This Row],[CandleRange]]/[1]!BTC_data[[#This Row],[open]]</f>
        <v>2.2391220598219578E-3</v>
      </c>
      <c r="J184" s="7">
        <f>ABS([1]!BTC_data[[#This Row],[open]]-[1]!BTC_data[[#This Row],[close]])</f>
        <v>107.19999999999709</v>
      </c>
      <c r="K184" s="6">
        <f>[1]!BTC_data[[#This Row],[CandleBody]]/[1]!BTC_data[[#This Row],[open]]</f>
        <v>1.140845460137424E-3</v>
      </c>
      <c r="L184" s="8">
        <f>IF([1]!BTC_data[[#This Row],[CandleRange]]&gt;0,([1]!BTC_data[[#This Row],[close]]-[1]!BTC_data[[#This Row],[low]])/[1]!BTC_data[[#This Row],[CandleRange]],"")</f>
        <v>0.44391634980987055</v>
      </c>
      <c r="M184" s="8">
        <f>IF([1]!BTC_data[[#This Row],[quote_volume]]&gt;0,[1]!BTC_data[[#This Row],[taker_buy_quote_volume]]/[1]!BTC_data[[#This Row],[quote_volume]],"")</f>
        <v>0.31839654789507205</v>
      </c>
      <c r="N184" t="str" cm="1">
        <f t="array" ref="N184">_xlfn.IFS([1]!BTC_data[[#This Row],[open]]-[1]!BTC_data[[#This Row],[close]]&gt;0,"Bearish",[1]!BTC_data[[#This Row],[open]]-[1]!BTC_data[[#This Row],[close]]&lt;0,"Bullish",TRUE,"Neutral")</f>
        <v>Bearish</v>
      </c>
      <c r="O184" s="8">
        <f>IF([1]!BTC_data[[#This Row],[CandleRange]]&gt;0,[1]!BTC_data[[#This Row],[CandleBody]]/[1]!BTC_data[[#This Row],[CandleRange]],"")</f>
        <v>0.50950570342205348</v>
      </c>
      <c r="P184" s="9" t="str" cm="1">
        <f t="array" ref="P184">_xlfn.IFS([1]!BTC_data[[#This Row],[BodyToRangeRatio]]&gt;=0.7,"Directional",[1]!BTC_data[[#This Row],[BodyToRangeRatio]]&lt;=0.3,"Indecision",TRUE,"Mixed")</f>
        <v>Mixed</v>
      </c>
      <c r="Q184" s="9" t="str" cm="1">
        <f t="array" ref="Q184">_xlfn.IFS([1]!BTC_data[[#This Row],[HourUTC]]&lt;8,"Asia",[1]!BTC_data[[#This Row],[HourUTC]]&lt;13,"London",[1]!BTC_data[[#This Row],[HourUTC]]&lt;21,"New York",TRUE,"AfterHours")</f>
        <v>New York</v>
      </c>
    </row>
    <row r="185" spans="1:17" x14ac:dyDescent="0.3">
      <c r="A185" s="10">
        <v>93790</v>
      </c>
      <c r="B185" s="10">
        <v>94010.4</v>
      </c>
      <c r="C185" s="10">
        <v>37256</v>
      </c>
      <c r="D185" s="10">
        <v>39.667950949999998</v>
      </c>
      <c r="E185" s="10">
        <v>810</v>
      </c>
      <c r="F185" s="10">
        <v>27822</v>
      </c>
      <c r="G185" s="10">
        <v>29.618472919999999</v>
      </c>
      <c r="H185" s="10">
        <f>[1]!BTC_data[[#This Row],[high]]-[1]!BTC_data[[#This Row],[low]]</f>
        <v>233.5</v>
      </c>
      <c r="I185" s="11">
        <f>[1]!BTC_data[[#This Row],[CandleRange]]/[1]!BTC_data[[#This Row],[open]]</f>
        <v>2.4877954190470307E-3</v>
      </c>
      <c r="J185" s="12">
        <f>ABS([1]!BTC_data[[#This Row],[open]]-[1]!BTC_data[[#This Row],[close]])</f>
        <v>152.19999999999709</v>
      </c>
      <c r="K185" s="11">
        <f>[1]!BTC_data[[#This Row],[CandleBody]]/[1]!BTC_data[[#This Row],[open]]</f>
        <v>1.6215951296743075E-3</v>
      </c>
      <c r="L185" s="13">
        <f>IF([1]!BTC_data[[#This Row],[CandleRange]]&gt;0,([1]!BTC_data[[#This Row],[close]]-[1]!BTC_data[[#This Row],[low]])/[1]!BTC_data[[#This Row],[CandleRange]],"")</f>
        <v>0.94389721627406498</v>
      </c>
      <c r="M185" s="13">
        <f>IF([1]!BTC_data[[#This Row],[quote_volume]]&gt;0,[1]!BTC_data[[#This Row],[taker_buy_quote_volume]]/[1]!BTC_data[[#This Row],[quote_volume]],"")</f>
        <v>0.74666001673071036</v>
      </c>
      <c r="N185" t="str" cm="1">
        <f t="array" ref="N185">_xlfn.IFS([1]!BTC_data[[#This Row],[open]]-[1]!BTC_data[[#This Row],[close]]&gt;0,"Bearish",[1]!BTC_data[[#This Row],[open]]-[1]!BTC_data[[#This Row],[close]]&lt;0,"Bullish",TRUE,"Neutral")</f>
        <v>Bullish</v>
      </c>
      <c r="O185" s="13">
        <f>IF([1]!BTC_data[[#This Row],[CandleRange]]&gt;0,[1]!BTC_data[[#This Row],[CandleBody]]/[1]!BTC_data[[#This Row],[CandleRange]],"")</f>
        <v>0.65182012847964488</v>
      </c>
      <c r="P185" s="9" t="str" cm="1">
        <f t="array" ref="P185">_xlfn.IFS([1]!BTC_data[[#This Row],[BodyToRangeRatio]]&gt;=0.7,"Directional",[1]!BTC_data[[#This Row],[BodyToRangeRatio]]&lt;=0.3,"Indecision",TRUE,"Mixed")</f>
        <v>Mixed</v>
      </c>
      <c r="Q185" s="9" t="str" cm="1">
        <f t="array" ref="Q185">_xlfn.IFS([1]!BTC_data[[#This Row],[HourUTC]]&lt;8,"Asia",[1]!BTC_data[[#This Row],[HourUTC]]&lt;13,"London",[1]!BTC_data[[#This Row],[HourUTC]]&lt;21,"New York",TRUE,"AfterHours")</f>
        <v>New York</v>
      </c>
    </row>
    <row r="186" spans="1:17" x14ac:dyDescent="0.3">
      <c r="A186" s="5">
        <v>94005</v>
      </c>
      <c r="B186" s="5">
        <v>94084</v>
      </c>
      <c r="C186" s="5">
        <v>28739</v>
      </c>
      <c r="D186" s="5">
        <v>30.556860019999998</v>
      </c>
      <c r="E186" s="5">
        <v>618</v>
      </c>
      <c r="F186" s="5">
        <v>16683</v>
      </c>
      <c r="G186" s="5">
        <v>17.73827271</v>
      </c>
      <c r="H186" s="5">
        <f>[1]!BTC_data[[#This Row],[high]]-[1]!BTC_data[[#This Row],[low]]</f>
        <v>100.39999999999418</v>
      </c>
      <c r="I186" s="6">
        <f>[1]!BTC_data[[#This Row],[CandleRange]]/[1]!BTC_data[[#This Row],[open]]</f>
        <v>1.0678703962713261E-3</v>
      </c>
      <c r="J186" s="7">
        <f>ABS([1]!BTC_data[[#This Row],[open]]-[1]!BTC_data[[#This Row],[close]])</f>
        <v>65.100000000005821</v>
      </c>
      <c r="K186" s="6">
        <f>[1]!BTC_data[[#This Row],[CandleBody]]/[1]!BTC_data[[#This Row],[open]]</f>
        <v>6.9241397208439823E-4</v>
      </c>
      <c r="L186" s="8">
        <f>IF([1]!BTC_data[[#This Row],[CandleRange]]&gt;0,([1]!BTC_data[[#This Row],[close]]-[1]!BTC_data[[#This Row],[low]])/[1]!BTC_data[[#This Row],[CandleRange]],"")</f>
        <v>0.78685258964147986</v>
      </c>
      <c r="M186" s="8">
        <f>IF([1]!BTC_data[[#This Row],[quote_volume]]&gt;0,[1]!BTC_data[[#This Row],[taker_buy_quote_volume]]/[1]!BTC_data[[#This Row],[quote_volume]],"")</f>
        <v>0.58050050621660709</v>
      </c>
      <c r="N186" t="str" cm="1">
        <f t="array" ref="N186">_xlfn.IFS([1]!BTC_data[[#This Row],[open]]-[1]!BTC_data[[#This Row],[close]]&gt;0,"Bearish",[1]!BTC_data[[#This Row],[open]]-[1]!BTC_data[[#This Row],[close]]&lt;0,"Bullish",TRUE,"Neutral")</f>
        <v>Bullish</v>
      </c>
      <c r="O186" s="8">
        <f>IF([1]!BTC_data[[#This Row],[CandleRange]]&gt;0,[1]!BTC_data[[#This Row],[CandleBody]]/[1]!BTC_data[[#This Row],[CandleRange]],"")</f>
        <v>0.6484063745020876</v>
      </c>
      <c r="P186" s="9" t="str" cm="1">
        <f t="array" ref="P186">_xlfn.IFS([1]!BTC_data[[#This Row],[BodyToRangeRatio]]&gt;=0.7,"Directional",[1]!BTC_data[[#This Row],[BodyToRangeRatio]]&lt;=0.3,"Indecision",TRUE,"Mixed")</f>
        <v>Mixed</v>
      </c>
      <c r="Q186" s="9" t="str" cm="1">
        <f t="array" ref="Q186">_xlfn.IFS([1]!BTC_data[[#This Row],[HourUTC]]&lt;8,"Asia",[1]!BTC_data[[#This Row],[HourUTC]]&lt;13,"London",[1]!BTC_data[[#This Row],[HourUTC]]&lt;21,"New York",TRUE,"AfterHours")</f>
        <v>New York</v>
      </c>
    </row>
    <row r="187" spans="1:17" x14ac:dyDescent="0.3">
      <c r="A187" s="10">
        <v>94001.8</v>
      </c>
      <c r="B187" s="10">
        <v>94028.6</v>
      </c>
      <c r="C187" s="10">
        <v>13532</v>
      </c>
      <c r="D187" s="10">
        <v>14.387174310000001</v>
      </c>
      <c r="E187" s="10">
        <v>374</v>
      </c>
      <c r="F187" s="10">
        <v>5886</v>
      </c>
      <c r="G187" s="10">
        <v>6.2580052500000001</v>
      </c>
      <c r="H187" s="10">
        <f>[1]!BTC_data[[#This Row],[high]]-[1]!BTC_data[[#This Row],[low]]</f>
        <v>92.5</v>
      </c>
      <c r="I187" s="11">
        <f>[1]!BTC_data[[#This Row],[CandleRange]]/[1]!BTC_data[[#This Row],[open]]</f>
        <v>9.8316502610967457E-4</v>
      </c>
      <c r="J187" s="12">
        <f>ABS([1]!BTC_data[[#This Row],[open]]-[1]!BTC_data[[#This Row],[close]])</f>
        <v>55.299999999988358</v>
      </c>
      <c r="K187" s="11">
        <f>[1]!BTC_data[[#This Row],[CandleBody]]/[1]!BTC_data[[#This Row],[open]]</f>
        <v>5.8777325344706551E-4</v>
      </c>
      <c r="L187" s="13">
        <f>IF([1]!BTC_data[[#This Row],[CandleRange]]&gt;0,([1]!BTC_data[[#This Row],[close]]-[1]!BTC_data[[#This Row],[low]])/[1]!BTC_data[[#This Row],[CandleRange]],"")</f>
        <v>0.28972972972976119</v>
      </c>
      <c r="M187" s="13">
        <f>IF([1]!BTC_data[[#This Row],[quote_volume]]&gt;0,[1]!BTC_data[[#This Row],[taker_buy_quote_volume]]/[1]!BTC_data[[#This Row],[quote_volume]],"")</f>
        <v>0.43497111490824775</v>
      </c>
      <c r="N187" t="str" cm="1">
        <f t="array" ref="N187">_xlfn.IFS([1]!BTC_data[[#This Row],[open]]-[1]!BTC_data[[#This Row],[close]]&gt;0,"Bearish",[1]!BTC_data[[#This Row],[open]]-[1]!BTC_data[[#This Row],[close]]&lt;0,"Bullish",TRUE,"Neutral")</f>
        <v>Bearish</v>
      </c>
      <c r="O187" s="13">
        <f>IF([1]!BTC_data[[#This Row],[CandleRange]]&gt;0,[1]!BTC_data[[#This Row],[CandleBody]]/[1]!BTC_data[[#This Row],[CandleRange]],"")</f>
        <v>0.59783783783771194</v>
      </c>
      <c r="P187" s="9" t="str" cm="1">
        <f t="array" ref="P187">_xlfn.IFS([1]!BTC_data[[#This Row],[BodyToRangeRatio]]&gt;=0.7,"Directional",[1]!BTC_data[[#This Row],[BodyToRangeRatio]]&lt;=0.3,"Indecision",TRUE,"Mixed")</f>
        <v>Mixed</v>
      </c>
      <c r="Q187" s="9" t="str" cm="1">
        <f t="array" ref="Q187">_xlfn.IFS([1]!BTC_data[[#This Row],[HourUTC]]&lt;8,"Asia",[1]!BTC_data[[#This Row],[HourUTC]]&lt;13,"London",[1]!BTC_data[[#This Row],[HourUTC]]&lt;21,"New York",TRUE,"AfterHours")</f>
        <v>New York</v>
      </c>
    </row>
    <row r="188" spans="1:17" x14ac:dyDescent="0.3">
      <c r="A188" s="5">
        <v>93975.2</v>
      </c>
      <c r="B188" s="5">
        <v>93996.1</v>
      </c>
      <c r="C188" s="5">
        <v>21632</v>
      </c>
      <c r="D188" s="5">
        <v>23.00884507</v>
      </c>
      <c r="E188" s="5">
        <v>596</v>
      </c>
      <c r="F188" s="5">
        <v>13703</v>
      </c>
      <c r="G188" s="5">
        <v>14.574980910000001</v>
      </c>
      <c r="H188" s="5">
        <f>[1]!BTC_data[[#This Row],[high]]-[1]!BTC_data[[#This Row],[low]]</f>
        <v>107.80000000000291</v>
      </c>
      <c r="I188" s="6">
        <f>[1]!BTC_data[[#This Row],[CandleRange]]/[1]!BTC_data[[#This Row],[open]]</f>
        <v>1.1464682291107524E-3</v>
      </c>
      <c r="J188" s="7">
        <f>ABS([1]!BTC_data[[#This Row],[open]]-[1]!BTC_data[[#This Row],[close]])</f>
        <v>31.799999999988358</v>
      </c>
      <c r="K188" s="6">
        <f>[1]!BTC_data[[#This Row],[CandleBody]]/[1]!BTC_data[[#This Row],[open]]</f>
        <v>3.3819749244626713E-4</v>
      </c>
      <c r="L188" s="8">
        <f>IF([1]!BTC_data[[#This Row],[CandleRange]]&gt;0,([1]!BTC_data[[#This Row],[close]]-[1]!BTC_data[[#This Row],[low]])/[1]!BTC_data[[#This Row],[CandleRange]],"")</f>
        <v>0.19387755102048393</v>
      </c>
      <c r="M188" s="8">
        <f>IF([1]!BTC_data[[#This Row],[quote_volume]]&gt;0,[1]!BTC_data[[#This Row],[taker_buy_quote_volume]]/[1]!BTC_data[[#This Row],[quote_volume]],"")</f>
        <v>0.63345121694106832</v>
      </c>
      <c r="N188" t="str" cm="1">
        <f t="array" ref="N188">_xlfn.IFS([1]!BTC_data[[#This Row],[open]]-[1]!BTC_data[[#This Row],[close]]&gt;0,"Bearish",[1]!BTC_data[[#This Row],[open]]-[1]!BTC_data[[#This Row],[close]]&lt;0,"Bullish",TRUE,"Neutral")</f>
        <v>Bearish</v>
      </c>
      <c r="O188" s="8">
        <f>IF([1]!BTC_data[[#This Row],[CandleRange]]&gt;0,[1]!BTC_data[[#This Row],[CandleBody]]/[1]!BTC_data[[#This Row],[CandleRange]],"")</f>
        <v>0.29499072356203615</v>
      </c>
      <c r="P188" s="9" t="str" cm="1">
        <f t="array" ref="P188">_xlfn.IFS([1]!BTC_data[[#This Row],[BodyToRangeRatio]]&gt;=0.7,"Directional",[1]!BTC_data[[#This Row],[BodyToRangeRatio]]&lt;=0.3,"Indecision",TRUE,"Mixed")</f>
        <v>Indecision</v>
      </c>
      <c r="Q188" s="9" t="str" cm="1">
        <f t="array" ref="Q188">_xlfn.IFS([1]!BTC_data[[#This Row],[HourUTC]]&lt;8,"Asia",[1]!BTC_data[[#This Row],[HourUTC]]&lt;13,"London",[1]!BTC_data[[#This Row],[HourUTC]]&lt;21,"New York",TRUE,"AfterHours")</f>
        <v>New York</v>
      </c>
    </row>
    <row r="189" spans="1:17" x14ac:dyDescent="0.3">
      <c r="A189" s="10">
        <v>93957.3</v>
      </c>
      <c r="B189" s="10">
        <v>94049.8</v>
      </c>
      <c r="C189" s="10">
        <v>17510</v>
      </c>
      <c r="D189" s="10">
        <v>18.62809596</v>
      </c>
      <c r="E189" s="10">
        <v>342</v>
      </c>
      <c r="F189" s="10">
        <v>12190</v>
      </c>
      <c r="G189" s="10">
        <v>12.967795949999999</v>
      </c>
      <c r="H189" s="10">
        <f>[1]!BTC_data[[#This Row],[high]]-[1]!BTC_data[[#This Row],[low]]</f>
        <v>92.5</v>
      </c>
      <c r="I189" s="11">
        <f>[1]!BTC_data[[#This Row],[CandleRange]]/[1]!BTC_data[[#This Row],[open]]</f>
        <v>9.8408442912464368E-4</v>
      </c>
      <c r="J189" s="12">
        <f>ABS([1]!BTC_data[[#This Row],[open]]-[1]!BTC_data[[#This Row],[close]])</f>
        <v>53.80000000000291</v>
      </c>
      <c r="K189" s="11">
        <f>[1]!BTC_data[[#This Row],[CandleBody]]/[1]!BTC_data[[#This Row],[open]]</f>
        <v>5.7236478148009397E-4</v>
      </c>
      <c r="L189" s="13">
        <f>IF([1]!BTC_data[[#This Row],[CandleRange]]&gt;0,([1]!BTC_data[[#This Row],[close]]-[1]!BTC_data[[#This Row],[low]])/[1]!BTC_data[[#This Row],[CandleRange]],"")</f>
        <v>1</v>
      </c>
      <c r="M189" s="13">
        <f>IF([1]!BTC_data[[#This Row],[quote_volume]]&gt;0,[1]!BTC_data[[#This Row],[taker_buy_quote_volume]]/[1]!BTC_data[[#This Row],[quote_volume]],"")</f>
        <v>0.69614178377895797</v>
      </c>
      <c r="N189" t="str" cm="1">
        <f t="array" ref="N189">_xlfn.IFS([1]!BTC_data[[#This Row],[open]]-[1]!BTC_data[[#This Row],[close]]&gt;0,"Bearish",[1]!BTC_data[[#This Row],[open]]-[1]!BTC_data[[#This Row],[close]]&lt;0,"Bullish",TRUE,"Neutral")</f>
        <v>Bullish</v>
      </c>
      <c r="O189" s="13">
        <f>IF([1]!BTC_data[[#This Row],[CandleRange]]&gt;0,[1]!BTC_data[[#This Row],[CandleBody]]/[1]!BTC_data[[#This Row],[CandleRange]],"")</f>
        <v>0.5816216216216531</v>
      </c>
      <c r="P189" s="9" t="str" cm="1">
        <f t="array" ref="P189">_xlfn.IFS([1]!BTC_data[[#This Row],[BodyToRangeRatio]]&gt;=0.7,"Directional",[1]!BTC_data[[#This Row],[BodyToRangeRatio]]&lt;=0.3,"Indecision",TRUE,"Mixed")</f>
        <v>Mixed</v>
      </c>
      <c r="Q189" s="9" t="str" cm="1">
        <f t="array" ref="Q189">_xlfn.IFS([1]!BTC_data[[#This Row],[HourUTC]]&lt;8,"Asia",[1]!BTC_data[[#This Row],[HourUTC]]&lt;13,"London",[1]!BTC_data[[#This Row],[HourUTC]]&lt;21,"New York",TRUE,"AfterHours")</f>
        <v>New York</v>
      </c>
    </row>
    <row r="190" spans="1:17" x14ac:dyDescent="0.3">
      <c r="A190" s="5">
        <v>94013.6</v>
      </c>
      <c r="B190" s="5">
        <v>94104.9</v>
      </c>
      <c r="C190" s="5">
        <v>41204</v>
      </c>
      <c r="D190" s="5">
        <v>43.796538409999997</v>
      </c>
      <c r="E190" s="5">
        <v>489</v>
      </c>
      <c r="F190" s="5">
        <v>30336</v>
      </c>
      <c r="G190" s="5">
        <v>32.246306390000001</v>
      </c>
      <c r="H190" s="5">
        <f>[1]!BTC_data[[#This Row],[high]]-[1]!BTC_data[[#This Row],[low]]</f>
        <v>91.399999999994179</v>
      </c>
      <c r="I190" s="6">
        <f>[1]!BTC_data[[#This Row],[CandleRange]]/[1]!BTC_data[[#This Row],[open]]</f>
        <v>9.7182556475393009E-4</v>
      </c>
      <c r="J190" s="7">
        <f>ABS([1]!BTC_data[[#This Row],[open]]-[1]!BTC_data[[#This Row],[close]])</f>
        <v>55.099999999991269</v>
      </c>
      <c r="K190" s="6">
        <f>[1]!BTC_data[[#This Row],[CandleBody]]/[1]!BTC_data[[#This Row],[open]]</f>
        <v>5.8585983170608832E-4</v>
      </c>
      <c r="L190" s="8">
        <f>IF([1]!BTC_data[[#This Row],[CandleRange]]&gt;0,([1]!BTC_data[[#This Row],[close]]-[1]!BTC_data[[#This Row],[low]])/[1]!BTC_data[[#This Row],[CandleRange]],"")</f>
        <v>0.99890590809621638</v>
      </c>
      <c r="M190" s="8">
        <f>IF([1]!BTC_data[[#This Row],[quote_volume]]&gt;0,[1]!BTC_data[[#This Row],[taker_buy_quote_volume]]/[1]!BTC_data[[#This Row],[quote_volume]],"")</f>
        <v>0.73627522997656025</v>
      </c>
      <c r="N190" t="str" cm="1">
        <f t="array" ref="N190">_xlfn.IFS([1]!BTC_data[[#This Row],[open]]-[1]!BTC_data[[#This Row],[close]]&gt;0,"Bearish",[1]!BTC_data[[#This Row],[open]]-[1]!BTC_data[[#This Row],[close]]&lt;0,"Bullish",TRUE,"Neutral")</f>
        <v>Bullish</v>
      </c>
      <c r="O190" s="8">
        <f>IF([1]!BTC_data[[#This Row],[CandleRange]]&gt;0,[1]!BTC_data[[#This Row],[CandleBody]]/[1]!BTC_data[[#This Row],[CandleRange]],"")</f>
        <v>0.6028446389496146</v>
      </c>
      <c r="P190" s="9" t="str" cm="1">
        <f t="array" ref="P190">_xlfn.IFS([1]!BTC_data[[#This Row],[BodyToRangeRatio]]&gt;=0.7,"Directional",[1]!BTC_data[[#This Row],[BodyToRangeRatio]]&lt;=0.3,"Indecision",TRUE,"Mixed")</f>
        <v>Mixed</v>
      </c>
      <c r="Q190" s="9" t="str" cm="1">
        <f t="array" ref="Q190">_xlfn.IFS([1]!BTC_data[[#This Row],[HourUTC]]&lt;8,"Asia",[1]!BTC_data[[#This Row],[HourUTC]]&lt;13,"London",[1]!BTC_data[[#This Row],[HourUTC]]&lt;21,"New York",TRUE,"AfterHours")</f>
        <v>New York</v>
      </c>
    </row>
    <row r="191" spans="1:17" x14ac:dyDescent="0.3">
      <c r="A191" s="10">
        <v>94096.5</v>
      </c>
      <c r="B191" s="10">
        <v>94183.4</v>
      </c>
      <c r="C191" s="10">
        <v>80854</v>
      </c>
      <c r="D191" s="10">
        <v>85.861155210000007</v>
      </c>
      <c r="E191" s="10">
        <v>1391</v>
      </c>
      <c r="F191" s="10">
        <v>57472</v>
      </c>
      <c r="G191" s="10">
        <v>61.04046391</v>
      </c>
      <c r="H191" s="10">
        <f>[1]!BTC_data[[#This Row],[high]]-[1]!BTC_data[[#This Row],[low]]</f>
        <v>167.19999999999709</v>
      </c>
      <c r="I191" s="11">
        <f>[1]!BTC_data[[#This Row],[CandleRange]]/[1]!BTC_data[[#This Row],[open]]</f>
        <v>1.7767387492694021E-3</v>
      </c>
      <c r="J191" s="12">
        <f>ABS([1]!BTC_data[[#This Row],[open]]-[1]!BTC_data[[#This Row],[close]])</f>
        <v>78.399999999994179</v>
      </c>
      <c r="K191" s="11">
        <f>[1]!BTC_data[[#This Row],[CandleBody]]/[1]!BTC_data[[#This Row],[open]]</f>
        <v>8.331119494181412E-4</v>
      </c>
      <c r="L191" s="13">
        <f>IF([1]!BTC_data[[#This Row],[CandleRange]]&gt;0,([1]!BTC_data[[#This Row],[close]]-[1]!BTC_data[[#This Row],[low]])/[1]!BTC_data[[#This Row],[CandleRange]],"")</f>
        <v>0.51973684210523741</v>
      </c>
      <c r="M191" s="13">
        <f>IF([1]!BTC_data[[#This Row],[quote_volume]]&gt;0,[1]!BTC_data[[#This Row],[taker_buy_quote_volume]]/[1]!BTC_data[[#This Row],[quote_volume]],"")</f>
        <v>0.71092059920119488</v>
      </c>
      <c r="N191" t="str" cm="1">
        <f t="array" ref="N191">_xlfn.IFS([1]!BTC_data[[#This Row],[open]]-[1]!BTC_data[[#This Row],[close]]&gt;0,"Bearish",[1]!BTC_data[[#This Row],[open]]-[1]!BTC_data[[#This Row],[close]]&lt;0,"Bullish",TRUE,"Neutral")</f>
        <v>Bullish</v>
      </c>
      <c r="O191" s="13">
        <f>IF([1]!BTC_data[[#This Row],[CandleRange]]&gt;0,[1]!BTC_data[[#This Row],[CandleBody]]/[1]!BTC_data[[#This Row],[CandleRange]],"")</f>
        <v>0.46889952153107384</v>
      </c>
      <c r="P191" s="9" t="str" cm="1">
        <f t="array" ref="P191">_xlfn.IFS([1]!BTC_data[[#This Row],[BodyToRangeRatio]]&gt;=0.7,"Directional",[1]!BTC_data[[#This Row],[BodyToRangeRatio]]&lt;=0.3,"Indecision",TRUE,"Mixed")</f>
        <v>Mixed</v>
      </c>
      <c r="Q191" s="9" t="str" cm="1">
        <f t="array" ref="Q191">_xlfn.IFS([1]!BTC_data[[#This Row],[HourUTC]]&lt;8,"Asia",[1]!BTC_data[[#This Row],[HourUTC]]&lt;13,"London",[1]!BTC_data[[#This Row],[HourUTC]]&lt;21,"New York",TRUE,"AfterHours")</f>
        <v>New York</v>
      </c>
    </row>
    <row r="192" spans="1:17" x14ac:dyDescent="0.3">
      <c r="A192" s="5">
        <v>94128.5</v>
      </c>
      <c r="B192" s="5">
        <v>94207.9</v>
      </c>
      <c r="C192" s="5">
        <v>24127</v>
      </c>
      <c r="D192" s="5">
        <v>25.617905579999999</v>
      </c>
      <c r="E192" s="5">
        <v>602</v>
      </c>
      <c r="F192" s="5">
        <v>14093</v>
      </c>
      <c r="G192" s="5">
        <v>14.96466038</v>
      </c>
      <c r="H192" s="5">
        <f>[1]!BTC_data[[#This Row],[high]]-[1]!BTC_data[[#This Row],[low]]</f>
        <v>92.19999999999709</v>
      </c>
      <c r="I192" s="6">
        <f>[1]!BTC_data[[#This Row],[CandleRange]]/[1]!BTC_data[[#This Row],[open]]</f>
        <v>9.7891302432096764E-4</v>
      </c>
      <c r="J192" s="7">
        <f>ABS([1]!BTC_data[[#This Row],[open]]-[1]!BTC_data[[#This Row],[close]])</f>
        <v>21.799999999988358</v>
      </c>
      <c r="K192" s="6">
        <f>[1]!BTC_data[[#This Row],[CandleBody]]/[1]!BTC_data[[#This Row],[open]]</f>
        <v>2.3145665867881096E-4</v>
      </c>
      <c r="L192" s="8">
        <f>IF([1]!BTC_data[[#This Row],[CandleRange]]&gt;0,([1]!BTC_data[[#This Row],[close]]-[1]!BTC_data[[#This Row],[low]])/[1]!BTC_data[[#This Row],[CandleRange]],"")</f>
        <v>0.86117136659432414</v>
      </c>
      <c r="M192" s="8">
        <f>IF([1]!BTC_data[[#This Row],[quote_volume]]&gt;0,[1]!BTC_data[[#This Row],[taker_buy_quote_volume]]/[1]!BTC_data[[#This Row],[quote_volume]],"")</f>
        <v>0.58414847120378843</v>
      </c>
      <c r="N192" t="str" cm="1">
        <f t="array" ref="N192">_xlfn.IFS([1]!BTC_data[[#This Row],[open]]-[1]!BTC_data[[#This Row],[close]]&gt;0,"Bearish",[1]!BTC_data[[#This Row],[open]]-[1]!BTC_data[[#This Row],[close]]&lt;0,"Bullish",TRUE,"Neutral")</f>
        <v>Bullish</v>
      </c>
      <c r="O192" s="8">
        <f>IF([1]!BTC_data[[#This Row],[CandleRange]]&gt;0,[1]!BTC_data[[#This Row],[CandleBody]]/[1]!BTC_data[[#This Row],[CandleRange]],"")</f>
        <v>0.23644251626886167</v>
      </c>
      <c r="P192" s="9" t="str" cm="1">
        <f t="array" ref="P192">_xlfn.IFS([1]!BTC_data[[#This Row],[BodyToRangeRatio]]&gt;=0.7,"Directional",[1]!BTC_data[[#This Row],[BodyToRangeRatio]]&lt;=0.3,"Indecision",TRUE,"Mixed")</f>
        <v>Indecision</v>
      </c>
      <c r="Q192" s="9" t="str" cm="1">
        <f t="array" ref="Q192">_xlfn.IFS([1]!BTC_data[[#This Row],[HourUTC]]&lt;8,"Asia",[1]!BTC_data[[#This Row],[HourUTC]]&lt;13,"London",[1]!BTC_data[[#This Row],[HourUTC]]&lt;21,"New York",TRUE,"AfterHours")</f>
        <v>New York</v>
      </c>
    </row>
    <row r="193" spans="1:17" x14ac:dyDescent="0.3">
      <c r="A193" s="10">
        <v>94153.600000000006</v>
      </c>
      <c r="B193" s="10">
        <v>94290.1</v>
      </c>
      <c r="C193" s="10">
        <v>37232</v>
      </c>
      <c r="D193" s="10">
        <v>39.487966630000003</v>
      </c>
      <c r="E193" s="10">
        <v>969</v>
      </c>
      <c r="F193" s="10">
        <v>27251</v>
      </c>
      <c r="G193" s="10">
        <v>28.901942890000001</v>
      </c>
      <c r="H193" s="10">
        <f>[1]!BTC_data[[#This Row],[high]]-[1]!BTC_data[[#This Row],[low]]</f>
        <v>218.69999999999709</v>
      </c>
      <c r="I193" s="11">
        <f>[1]!BTC_data[[#This Row],[CandleRange]]/[1]!BTC_data[[#This Row],[open]]</f>
        <v>2.3214613636435705E-3</v>
      </c>
      <c r="J193" s="12">
        <f>ABS([1]!BTC_data[[#This Row],[open]]-[1]!BTC_data[[#This Row],[close]])</f>
        <v>82.200000000011642</v>
      </c>
      <c r="K193" s="11">
        <f>[1]!BTC_data[[#This Row],[CandleBody]]/[1]!BTC_data[[#This Row],[open]]</f>
        <v>8.7253829031335643E-4</v>
      </c>
      <c r="L193" s="13">
        <f>IF([1]!BTC_data[[#This Row],[CandleRange]]&gt;0,([1]!BTC_data[[#This Row],[close]]-[1]!BTC_data[[#This Row],[low]])/[1]!BTC_data[[#This Row],[CandleRange]],"")</f>
        <v>0.62414266117970651</v>
      </c>
      <c r="M193" s="13">
        <f>IF([1]!BTC_data[[#This Row],[quote_volume]]&gt;0,[1]!BTC_data[[#This Row],[taker_buy_quote_volume]]/[1]!BTC_data[[#This Row],[quote_volume]],"")</f>
        <v>0.73191772979372571</v>
      </c>
      <c r="N193" t="str" cm="1">
        <f t="array" ref="N193">_xlfn.IFS([1]!BTC_data[[#This Row],[open]]-[1]!BTC_data[[#This Row],[close]]&gt;0,"Bearish",[1]!BTC_data[[#This Row],[open]]-[1]!BTC_data[[#This Row],[close]]&lt;0,"Bullish",TRUE,"Neutral")</f>
        <v>Bullish</v>
      </c>
      <c r="O193" s="13">
        <f>IF([1]!BTC_data[[#This Row],[CandleRange]]&gt;0,[1]!BTC_data[[#This Row],[CandleBody]]/[1]!BTC_data[[#This Row],[CandleRange]],"")</f>
        <v>0.37585733882036004</v>
      </c>
      <c r="P193" s="9" t="str" cm="1">
        <f t="array" ref="P193">_xlfn.IFS([1]!BTC_data[[#This Row],[BodyToRangeRatio]]&gt;=0.7,"Directional",[1]!BTC_data[[#This Row],[BodyToRangeRatio]]&lt;=0.3,"Indecision",TRUE,"Mixed")</f>
        <v>Mixed</v>
      </c>
      <c r="Q193" s="9" t="str" cm="1">
        <f t="array" ref="Q193">_xlfn.IFS([1]!BTC_data[[#This Row],[HourUTC]]&lt;8,"Asia",[1]!BTC_data[[#This Row],[HourUTC]]&lt;13,"London",[1]!BTC_data[[#This Row],[HourUTC]]&lt;21,"New York",TRUE,"AfterHours")</f>
        <v>New York</v>
      </c>
    </row>
    <row r="194" spans="1:17" x14ac:dyDescent="0.3">
      <c r="A194" s="5">
        <v>94163.5</v>
      </c>
      <c r="B194" s="5">
        <v>94198.7</v>
      </c>
      <c r="C194" s="5">
        <v>61200</v>
      </c>
      <c r="D194" s="5">
        <v>64.919414009999997</v>
      </c>
      <c r="E194" s="5">
        <v>1279</v>
      </c>
      <c r="F194" s="5">
        <v>31393</v>
      </c>
      <c r="G194" s="5">
        <v>33.306386629999999</v>
      </c>
      <c r="H194" s="5">
        <f>[1]!BTC_data[[#This Row],[high]]-[1]!BTC_data[[#This Row],[low]]</f>
        <v>196.5</v>
      </c>
      <c r="I194" s="6">
        <f>[1]!BTC_data[[#This Row],[CandleRange]]/[1]!BTC_data[[#This Row],[open]]</f>
        <v>2.0838878878921344E-3</v>
      </c>
      <c r="J194" s="7">
        <f>ABS([1]!BTC_data[[#This Row],[open]]-[1]!BTC_data[[#This Row],[close]])</f>
        <v>96.19999999999709</v>
      </c>
      <c r="K194" s="6">
        <f>[1]!BTC_data[[#This Row],[CandleBody]]/[1]!BTC_data[[#This Row],[open]]</f>
        <v>1.0202036377364746E-3</v>
      </c>
      <c r="L194" s="8">
        <f>IF([1]!BTC_data[[#This Row],[CandleRange]]&gt;0,([1]!BTC_data[[#This Row],[close]]-[1]!BTC_data[[#This Row],[low]])/[1]!BTC_data[[#This Row],[CandleRange]],"")</f>
        <v>0.17913486005087578</v>
      </c>
      <c r="M194" s="8">
        <f>IF([1]!BTC_data[[#This Row],[quote_volume]]&gt;0,[1]!BTC_data[[#This Row],[taker_buy_quote_volume]]/[1]!BTC_data[[#This Row],[quote_volume]],"")</f>
        <v>0.51304200966554592</v>
      </c>
      <c r="N194" t="str" cm="1">
        <f t="array" ref="N194">_xlfn.IFS([1]!BTC_data[[#This Row],[open]]-[1]!BTC_data[[#This Row],[close]]&gt;0,"Bearish",[1]!BTC_data[[#This Row],[open]]-[1]!BTC_data[[#This Row],[close]]&lt;0,"Bullish",TRUE,"Neutral")</f>
        <v>Bearish</v>
      </c>
      <c r="O194" s="8">
        <f>IF([1]!BTC_data[[#This Row],[CandleRange]]&gt;0,[1]!BTC_data[[#This Row],[CandleBody]]/[1]!BTC_data[[#This Row],[CandleRange]],"")</f>
        <v>0.48956743002543046</v>
      </c>
      <c r="P194" s="9" t="str" cm="1">
        <f t="array" ref="P194">_xlfn.IFS([1]!BTC_data[[#This Row],[BodyToRangeRatio]]&gt;=0.7,"Directional",[1]!BTC_data[[#This Row],[BodyToRangeRatio]]&lt;=0.3,"Indecision",TRUE,"Mixed")</f>
        <v>Mixed</v>
      </c>
      <c r="Q194" s="9" t="str" cm="1">
        <f t="array" ref="Q194">_xlfn.IFS([1]!BTC_data[[#This Row],[HourUTC]]&lt;8,"Asia",[1]!BTC_data[[#This Row],[HourUTC]]&lt;13,"London",[1]!BTC_data[[#This Row],[HourUTC]]&lt;21,"New York",TRUE,"AfterHours")</f>
        <v>New York</v>
      </c>
    </row>
    <row r="195" spans="1:17" x14ac:dyDescent="0.3">
      <c r="A195" s="10">
        <v>94188.1</v>
      </c>
      <c r="B195" s="10">
        <v>94277.1</v>
      </c>
      <c r="C195" s="10">
        <v>47368</v>
      </c>
      <c r="D195" s="10">
        <v>50.258630189999998</v>
      </c>
      <c r="E195" s="10">
        <v>727</v>
      </c>
      <c r="F195" s="10">
        <v>23049</v>
      </c>
      <c r="G195" s="10">
        <v>24.456578149999999</v>
      </c>
      <c r="H195" s="10">
        <f>[1]!BTC_data[[#This Row],[high]]-[1]!BTC_data[[#This Row],[low]]</f>
        <v>111.89999999999418</v>
      </c>
      <c r="I195" s="11">
        <f>[1]!BTC_data[[#This Row],[CandleRange]]/[1]!BTC_data[[#This Row],[open]]</f>
        <v>1.1879157439706554E-3</v>
      </c>
      <c r="J195" s="12">
        <f>ABS([1]!BTC_data[[#This Row],[open]]-[1]!BTC_data[[#This Row],[close]])</f>
        <v>78.5</v>
      </c>
      <c r="K195" s="11">
        <f>[1]!BTC_data[[#This Row],[CandleBody]]/[1]!BTC_data[[#This Row],[open]]</f>
        <v>8.3334571851386319E-4</v>
      </c>
      <c r="L195" s="13">
        <f>IF([1]!BTC_data[[#This Row],[CandleRange]]&gt;0,([1]!BTC_data[[#This Row],[close]]-[1]!BTC_data[[#This Row],[low]])/[1]!BTC_data[[#This Row],[CandleRange]],"")</f>
        <v>0.795352993744456</v>
      </c>
      <c r="M195" s="13">
        <f>IF([1]!BTC_data[[#This Row],[quote_volume]]&gt;0,[1]!BTC_data[[#This Row],[taker_buy_quote_volume]]/[1]!BTC_data[[#This Row],[quote_volume]],"")</f>
        <v>0.48661449899337178</v>
      </c>
      <c r="N195" t="str" cm="1">
        <f t="array" ref="N195">_xlfn.IFS([1]!BTC_data[[#This Row],[open]]-[1]!BTC_data[[#This Row],[close]]&gt;0,"Bearish",[1]!BTC_data[[#This Row],[open]]-[1]!BTC_data[[#This Row],[close]]&lt;0,"Bullish",TRUE,"Neutral")</f>
        <v>Bullish</v>
      </c>
      <c r="O195" s="13">
        <f>IF([1]!BTC_data[[#This Row],[CandleRange]]&gt;0,[1]!BTC_data[[#This Row],[CandleBody]]/[1]!BTC_data[[#This Row],[CandleRange]],"")</f>
        <v>0.70151921358359326</v>
      </c>
      <c r="P195" s="9" t="str" cm="1">
        <f t="array" ref="P195">_xlfn.IFS([1]!BTC_data[[#This Row],[BodyToRangeRatio]]&gt;=0.7,"Directional",[1]!BTC_data[[#This Row],[BodyToRangeRatio]]&lt;=0.3,"Indecision",TRUE,"Mixed")</f>
        <v>Directional</v>
      </c>
      <c r="Q195" s="9" t="str" cm="1">
        <f t="array" ref="Q195">_xlfn.IFS([1]!BTC_data[[#This Row],[HourUTC]]&lt;8,"Asia",[1]!BTC_data[[#This Row],[HourUTC]]&lt;13,"London",[1]!BTC_data[[#This Row],[HourUTC]]&lt;21,"New York",TRUE,"AfterHours")</f>
        <v>New York</v>
      </c>
    </row>
    <row r="196" spans="1:17" x14ac:dyDescent="0.3">
      <c r="A196" s="5">
        <v>94107.6</v>
      </c>
      <c r="B196" s="5">
        <v>94139.199999999997</v>
      </c>
      <c r="C196" s="5">
        <v>41310</v>
      </c>
      <c r="D196" s="5">
        <v>43.865378990000004</v>
      </c>
      <c r="E196" s="5">
        <v>896</v>
      </c>
      <c r="F196" s="5">
        <v>21066</v>
      </c>
      <c r="G196" s="5">
        <v>22.36731662</v>
      </c>
      <c r="H196" s="5">
        <f>[1]!BTC_data[[#This Row],[high]]-[1]!BTC_data[[#This Row],[low]]</f>
        <v>169.59999999999127</v>
      </c>
      <c r="I196" s="6">
        <f>[1]!BTC_data[[#This Row],[CandleRange]]/[1]!BTC_data[[#This Row],[open]]</f>
        <v>1.7989503294539005E-3</v>
      </c>
      <c r="J196" s="7">
        <f>ABS([1]!BTC_data[[#This Row],[open]]-[1]!BTC_data[[#This Row],[close]])</f>
        <v>138</v>
      </c>
      <c r="K196" s="6">
        <f>[1]!BTC_data[[#This Row],[CandleBody]]/[1]!BTC_data[[#This Row],[open]]</f>
        <v>1.4637685463717632E-3</v>
      </c>
      <c r="L196" s="8">
        <f>IF([1]!BTC_data[[#This Row],[CandleRange]]&gt;0,([1]!BTC_data[[#This Row],[close]]-[1]!BTC_data[[#This Row],[low]])/[1]!BTC_data[[#This Row],[CandleRange]],"")</f>
        <v>0.18632075471693924</v>
      </c>
      <c r="M196" s="8">
        <f>IF([1]!BTC_data[[#This Row],[quote_volume]]&gt;0,[1]!BTC_data[[#This Row],[taker_buy_quote_volume]]/[1]!BTC_data[[#This Row],[quote_volume]],"")</f>
        <v>0.5099082040325944</v>
      </c>
      <c r="N196" t="str" cm="1">
        <f t="array" ref="N196">_xlfn.IFS([1]!BTC_data[[#This Row],[open]]-[1]!BTC_data[[#This Row],[close]]&gt;0,"Bearish",[1]!BTC_data[[#This Row],[open]]-[1]!BTC_data[[#This Row],[close]]&lt;0,"Bullish",TRUE,"Neutral")</f>
        <v>Bearish</v>
      </c>
      <c r="O196" s="8">
        <f>IF([1]!BTC_data[[#This Row],[CandleRange]]&gt;0,[1]!BTC_data[[#This Row],[CandleBody]]/[1]!BTC_data[[#This Row],[CandleRange]],"")</f>
        <v>0.81367924528306079</v>
      </c>
      <c r="P196" s="9" t="str" cm="1">
        <f t="array" ref="P196">_xlfn.IFS([1]!BTC_data[[#This Row],[BodyToRangeRatio]]&gt;=0.7,"Directional",[1]!BTC_data[[#This Row],[BodyToRangeRatio]]&lt;=0.3,"Indecision",TRUE,"Mixed")</f>
        <v>Directional</v>
      </c>
      <c r="Q196" s="9" t="str" cm="1">
        <f t="array" ref="Q196">_xlfn.IFS([1]!BTC_data[[#This Row],[HourUTC]]&lt;8,"Asia",[1]!BTC_data[[#This Row],[HourUTC]]&lt;13,"London",[1]!BTC_data[[#This Row],[HourUTC]]&lt;21,"New York",TRUE,"AfterHours")</f>
        <v>New York</v>
      </c>
    </row>
    <row r="197" spans="1:17" x14ac:dyDescent="0.3">
      <c r="A197" s="10">
        <v>93962.1</v>
      </c>
      <c r="B197" s="10">
        <v>93967.7</v>
      </c>
      <c r="C197" s="10">
        <v>73153</v>
      </c>
      <c r="D197" s="10">
        <v>77.792962610000004</v>
      </c>
      <c r="E197" s="10">
        <v>1527</v>
      </c>
      <c r="F197" s="10">
        <v>20177</v>
      </c>
      <c r="G197" s="10">
        <v>21.456956389999998</v>
      </c>
      <c r="H197" s="10">
        <f>[1]!BTC_data[[#This Row],[high]]-[1]!BTC_data[[#This Row],[low]]</f>
        <v>177</v>
      </c>
      <c r="I197" s="11">
        <f>[1]!BTC_data[[#This Row],[CandleRange]]/[1]!BTC_data[[#This Row],[open]]</f>
        <v>1.8801964327256155E-3</v>
      </c>
      <c r="J197" s="12">
        <f>ABS([1]!BTC_data[[#This Row],[open]]-[1]!BTC_data[[#This Row],[close]])</f>
        <v>171.40000000000873</v>
      </c>
      <c r="K197" s="11">
        <f>[1]!BTC_data[[#This Row],[CandleBody]]/[1]!BTC_data[[#This Row],[open]]</f>
        <v>1.8207099919163102E-3</v>
      </c>
      <c r="L197" s="13">
        <f>IF([1]!BTC_data[[#This Row],[CandleRange]]&gt;0,([1]!BTC_data[[#This Row],[close]]-[1]!BTC_data[[#This Row],[low]])/[1]!BTC_data[[#This Row],[CandleRange]],"")</f>
        <v>3.1638418079046715E-2</v>
      </c>
      <c r="M197" s="13">
        <f>IF([1]!BTC_data[[#This Row],[quote_volume]]&gt;0,[1]!BTC_data[[#This Row],[taker_buy_quote_volume]]/[1]!BTC_data[[#This Row],[quote_volume]],"")</f>
        <v>0.27582130401139632</v>
      </c>
      <c r="N197" t="str" cm="1">
        <f t="array" ref="N197">_xlfn.IFS([1]!BTC_data[[#This Row],[open]]-[1]!BTC_data[[#This Row],[close]]&gt;0,"Bearish",[1]!BTC_data[[#This Row],[open]]-[1]!BTC_data[[#This Row],[close]]&lt;0,"Bullish",TRUE,"Neutral")</f>
        <v>Bearish</v>
      </c>
      <c r="O197" s="13">
        <f>IF([1]!BTC_data[[#This Row],[CandleRange]]&gt;0,[1]!BTC_data[[#This Row],[CandleBody]]/[1]!BTC_data[[#This Row],[CandleRange]],"")</f>
        <v>0.96836158192095323</v>
      </c>
      <c r="P197" s="9" t="str" cm="1">
        <f t="array" ref="P197">_xlfn.IFS([1]!BTC_data[[#This Row],[BodyToRangeRatio]]&gt;=0.7,"Directional",[1]!BTC_data[[#This Row],[BodyToRangeRatio]]&lt;=0.3,"Indecision",TRUE,"Mixed")</f>
        <v>Directional</v>
      </c>
      <c r="Q197" s="9" t="str" cm="1">
        <f t="array" ref="Q197">_xlfn.IFS([1]!BTC_data[[#This Row],[HourUTC]]&lt;8,"Asia",[1]!BTC_data[[#This Row],[HourUTC]]&lt;13,"London",[1]!BTC_data[[#This Row],[HourUTC]]&lt;21,"New York",TRUE,"AfterHours")</f>
        <v>New York</v>
      </c>
    </row>
    <row r="198" spans="1:17" x14ac:dyDescent="0.3">
      <c r="A198" s="5">
        <v>93950</v>
      </c>
      <c r="B198" s="5">
        <v>94035.9</v>
      </c>
      <c r="C198" s="5">
        <v>32918</v>
      </c>
      <c r="D198" s="5">
        <v>35.010420809999999</v>
      </c>
      <c r="E198" s="5">
        <v>840</v>
      </c>
      <c r="F198" s="5">
        <v>24065</v>
      </c>
      <c r="G198" s="5">
        <v>25.593266010000001</v>
      </c>
      <c r="H198" s="5">
        <f>[1]!BTC_data[[#This Row],[high]]-[1]!BTC_data[[#This Row],[low]]</f>
        <v>124.60000000000582</v>
      </c>
      <c r="I198" s="6">
        <f>[1]!BTC_data[[#This Row],[CandleRange]]/[1]!BTC_data[[#This Row],[open]]</f>
        <v>1.3258986528189268E-3</v>
      </c>
      <c r="J198" s="7">
        <f>ABS([1]!BTC_data[[#This Row],[open]]-[1]!BTC_data[[#This Row],[close]])</f>
        <v>61.899999999994179</v>
      </c>
      <c r="K198" s="6">
        <f>[1]!BTC_data[[#This Row],[CandleBody]]/[1]!BTC_data[[#This Row],[open]]</f>
        <v>6.5869282993162126E-4</v>
      </c>
      <c r="L198" s="8">
        <f>IF([1]!BTC_data[[#This Row],[CandleRange]]&gt;0,([1]!BTC_data[[#This Row],[close]]-[1]!BTC_data[[#This Row],[low]])/[1]!BTC_data[[#This Row],[CandleRange]],"")</f>
        <v>0.68940609951838017</v>
      </c>
      <c r="M198" s="8">
        <f>IF([1]!BTC_data[[#This Row],[quote_volume]]&gt;0,[1]!BTC_data[[#This Row],[taker_buy_quote_volume]]/[1]!BTC_data[[#This Row],[quote_volume]],"")</f>
        <v>0.73101852013986124</v>
      </c>
      <c r="N198" t="str" cm="1">
        <f t="array" ref="N198">_xlfn.IFS([1]!BTC_data[[#This Row],[open]]-[1]!BTC_data[[#This Row],[close]]&gt;0,"Bearish",[1]!BTC_data[[#This Row],[open]]-[1]!BTC_data[[#This Row],[close]]&lt;0,"Bullish",TRUE,"Neutral")</f>
        <v>Bullish</v>
      </c>
      <c r="O198" s="8">
        <f>IF([1]!BTC_data[[#This Row],[CandleRange]]&gt;0,[1]!BTC_data[[#This Row],[CandleBody]]/[1]!BTC_data[[#This Row],[CandleRange]],"")</f>
        <v>0.49678972712673586</v>
      </c>
      <c r="P198" s="9" t="str" cm="1">
        <f t="array" ref="P198">_xlfn.IFS([1]!BTC_data[[#This Row],[BodyToRangeRatio]]&gt;=0.7,"Directional",[1]!BTC_data[[#This Row],[BodyToRangeRatio]]&lt;=0.3,"Indecision",TRUE,"Mixed")</f>
        <v>Mixed</v>
      </c>
      <c r="Q198" s="9" t="str" cm="1">
        <f t="array" ref="Q198">_xlfn.IFS([1]!BTC_data[[#This Row],[HourUTC]]&lt;8,"Asia",[1]!BTC_data[[#This Row],[HourUTC]]&lt;13,"London",[1]!BTC_data[[#This Row],[HourUTC]]&lt;21,"New York",TRUE,"AfterHours")</f>
        <v>New York</v>
      </c>
    </row>
    <row r="199" spans="1:17" x14ac:dyDescent="0.3">
      <c r="A199" s="10">
        <v>93979.3</v>
      </c>
      <c r="B199" s="10">
        <v>94007.6</v>
      </c>
      <c r="C199" s="10">
        <v>21194</v>
      </c>
      <c r="D199" s="10">
        <v>22.537868150000001</v>
      </c>
      <c r="E199" s="10">
        <v>624</v>
      </c>
      <c r="F199" s="10">
        <v>13668</v>
      </c>
      <c r="G199" s="10">
        <v>14.5348223</v>
      </c>
      <c r="H199" s="10">
        <f>[1]!BTC_data[[#This Row],[high]]-[1]!BTC_data[[#This Row],[low]]</f>
        <v>105</v>
      </c>
      <c r="I199" s="11">
        <f>[1]!BTC_data[[#This Row],[CandleRange]]/[1]!BTC_data[[#This Row],[open]]</f>
        <v>1.1165948323991158E-3</v>
      </c>
      <c r="J199" s="12">
        <f>ABS([1]!BTC_data[[#This Row],[open]]-[1]!BTC_data[[#This Row],[close]])</f>
        <v>28.299999999988358</v>
      </c>
      <c r="K199" s="11">
        <f>[1]!BTC_data[[#This Row],[CandleBody]]/[1]!BTC_data[[#This Row],[open]]</f>
        <v>3.0094889292268549E-4</v>
      </c>
      <c r="L199" s="13">
        <f>IF([1]!BTC_data[[#This Row],[CandleRange]]&gt;0,([1]!BTC_data[[#This Row],[close]]-[1]!BTC_data[[#This Row],[low]])/[1]!BTC_data[[#This Row],[CandleRange]],"")</f>
        <v>0.26952380952383725</v>
      </c>
      <c r="M199" s="13">
        <f>IF([1]!BTC_data[[#This Row],[quote_volume]]&gt;0,[1]!BTC_data[[#This Row],[taker_buy_quote_volume]]/[1]!BTC_data[[#This Row],[quote_volume]],"")</f>
        <v>0.64490670560604901</v>
      </c>
      <c r="N199" t="str" cm="1">
        <f t="array" ref="N199">_xlfn.IFS([1]!BTC_data[[#This Row],[open]]-[1]!BTC_data[[#This Row],[close]]&gt;0,"Bearish",[1]!BTC_data[[#This Row],[open]]-[1]!BTC_data[[#This Row],[close]]&lt;0,"Bullish",TRUE,"Neutral")</f>
        <v>Bearish</v>
      </c>
      <c r="O199" s="13">
        <f>IF([1]!BTC_data[[#This Row],[CandleRange]]&gt;0,[1]!BTC_data[[#This Row],[CandleBody]]/[1]!BTC_data[[#This Row],[CandleRange]],"")</f>
        <v>0.26952380952369864</v>
      </c>
      <c r="P199" s="9" t="str" cm="1">
        <f t="array" ref="P199">_xlfn.IFS([1]!BTC_data[[#This Row],[BodyToRangeRatio]]&gt;=0.7,"Directional",[1]!BTC_data[[#This Row],[BodyToRangeRatio]]&lt;=0.3,"Indecision",TRUE,"Mixed")</f>
        <v>Indecision</v>
      </c>
      <c r="Q199" s="9" t="str" cm="1">
        <f t="array" ref="Q199">_xlfn.IFS([1]!BTC_data[[#This Row],[HourUTC]]&lt;8,"Asia",[1]!BTC_data[[#This Row],[HourUTC]]&lt;13,"London",[1]!BTC_data[[#This Row],[HourUTC]]&lt;21,"New York",TRUE,"AfterHours")</f>
        <v>New York</v>
      </c>
    </row>
    <row r="200" spans="1:17" x14ac:dyDescent="0.3">
      <c r="A200" s="5">
        <v>93875.9</v>
      </c>
      <c r="B200" s="5">
        <v>93956.1</v>
      </c>
      <c r="C200" s="5">
        <v>62558</v>
      </c>
      <c r="D200" s="5">
        <v>66.605916519999994</v>
      </c>
      <c r="E200" s="5">
        <v>1138</v>
      </c>
      <c r="F200" s="5">
        <v>14324</v>
      </c>
      <c r="G200" s="5">
        <v>15.251252689999999</v>
      </c>
      <c r="H200" s="5">
        <f>[1]!BTC_data[[#This Row],[high]]-[1]!BTC_data[[#This Row],[low]]</f>
        <v>137.70000000001164</v>
      </c>
      <c r="I200" s="6">
        <f>[1]!BTC_data[[#This Row],[CandleRange]]/[1]!BTC_data[[#This Row],[open]]</f>
        <v>1.4647393519194431E-3</v>
      </c>
      <c r="J200" s="7">
        <f>ABS([1]!BTC_data[[#This Row],[open]]-[1]!BTC_data[[#This Row],[close]])</f>
        <v>53.799999999988358</v>
      </c>
      <c r="K200" s="6">
        <f>[1]!BTC_data[[#This Row],[CandleBody]]/[1]!BTC_data[[#This Row],[open]]</f>
        <v>5.7228015347307419E-4</v>
      </c>
      <c r="L200" s="8">
        <f>IF([1]!BTC_data[[#This Row],[CandleRange]]&gt;0,([1]!BTC_data[[#This Row],[close]]-[1]!BTC_data[[#This Row],[low]])/[1]!BTC_data[[#This Row],[CandleRange]],"")</f>
        <v>0.58242556281775504</v>
      </c>
      <c r="M200" s="8">
        <f>IF([1]!BTC_data[[#This Row],[quote_volume]]&gt;0,[1]!BTC_data[[#This Row],[taker_buy_quote_volume]]/[1]!BTC_data[[#This Row],[quote_volume]],"")</f>
        <v>0.22897744655192084</v>
      </c>
      <c r="N200" t="str" cm="1">
        <f t="array" ref="N200">_xlfn.IFS([1]!BTC_data[[#This Row],[open]]-[1]!BTC_data[[#This Row],[close]]&gt;0,"Bearish",[1]!BTC_data[[#This Row],[open]]-[1]!BTC_data[[#This Row],[close]]&lt;0,"Bullish",TRUE,"Neutral")</f>
        <v>Bearish</v>
      </c>
      <c r="O200" s="8">
        <f>IF([1]!BTC_data[[#This Row],[CandleRange]]&gt;0,[1]!BTC_data[[#This Row],[CandleBody]]/[1]!BTC_data[[#This Row],[CandleRange]],"")</f>
        <v>0.3907044299199986</v>
      </c>
      <c r="P200" s="9" t="str" cm="1">
        <f t="array" ref="P200">_xlfn.IFS([1]!BTC_data[[#This Row],[BodyToRangeRatio]]&gt;=0.7,"Directional",[1]!BTC_data[[#This Row],[BodyToRangeRatio]]&lt;=0.3,"Indecision",TRUE,"Mixed")</f>
        <v>Mixed</v>
      </c>
      <c r="Q200" s="9" t="str" cm="1">
        <f t="array" ref="Q200">_xlfn.IFS([1]!BTC_data[[#This Row],[HourUTC]]&lt;8,"Asia",[1]!BTC_data[[#This Row],[HourUTC]]&lt;13,"London",[1]!BTC_data[[#This Row],[HourUTC]]&lt;21,"New York",TRUE,"AfterHours")</f>
        <v>New York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Rafał Zachraj</dc:creator>
  <cp:lastModifiedBy>Rafał Zachraj</cp:lastModifiedBy>
  <dcterms:created xsi:type="dcterms:W3CDTF">2015-06-05T18:19:34Z</dcterms:created>
  <dcterms:modified xsi:type="dcterms:W3CDTF">2026-07-16T19:26:28Z</dcterms:modified>
</cp:coreProperties>
</file>